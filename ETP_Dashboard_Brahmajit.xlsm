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11.xml" ContentType="application/vnd.openxmlformats-officedocument.drawing+xml"/>
  <Override PartName="/xl/slicers/slicer4.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pivotTables/pivotTable13.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pivotTables/pivotTable14.xml" ContentType="application/vnd.openxmlformats-officedocument.spreadsheetml.pivotTab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5.xml" ContentType="application/vnd.openxmlformats-officedocument.spreadsheetml.pivot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D:\Sex-Ratio-in-India-Data-Science-Project-master\"/>
    </mc:Choice>
  </mc:AlternateContent>
  <xr:revisionPtr revIDLastSave="0" documentId="13_ncr:1_{FF23CFBE-364A-4C47-8142-E50E85185AA4}" xr6:coauthVersionLast="45" xr6:coauthVersionMax="45" xr10:uidLastSave="{00000000-0000-0000-0000-000000000000}"/>
  <bookViews>
    <workbookView xWindow="-110" yWindow="-110" windowWidth="19420" windowHeight="10420" tabRatio="1000" activeTab="1" xr2:uid="{00000000-000D-0000-FFFF-FFFF00000000}"/>
  </bookViews>
  <sheets>
    <sheet name="INDEX" sheetId="16" r:id="rId1"/>
    <sheet name="INTRO" sheetId="18" r:id="rId2"/>
    <sheet name="DASHBOARD" sheetId="12" r:id="rId3"/>
    <sheet name="1)SEX RATIO COMPLETE" sheetId="15" r:id="rId4"/>
    <sheet name="2)CHANGE IN SEX RATIO" sheetId="2" r:id="rId5"/>
    <sheet name="3)ABV AVERAGE " sheetId="3" r:id="rId6"/>
    <sheet name="4)ratio of U.T." sheetId="4" r:id="rId7"/>
    <sheet name="5)CSR VS SR" sheetId="7" r:id="rId8"/>
    <sheet name="6)LR_VS_SR_PIVOT" sheetId="23" r:id="rId9"/>
    <sheet name="7)DGR_VS_SR_PIVOT" sheetId="22" r:id="rId10"/>
    <sheet name="Sheet1" sheetId="24" r:id="rId11"/>
    <sheet name="Sheet4" sheetId="27" r:id="rId12"/>
    <sheet name="Sheet5" sheetId="28" r:id="rId13"/>
    <sheet name="Sheet8" sheetId="31" r:id="rId14"/>
    <sheet name="SEX__RATIO" sheetId="1" r:id="rId15"/>
    <sheet name="Child sex ratio" sheetId="6" r:id="rId16"/>
    <sheet name="Sheet7" sheetId="30" r:id="rId17"/>
    <sheet name="LITERACY RATE" sheetId="9" r:id="rId18"/>
    <sheet name="CALCULATING CORR. COEFF." sheetId="13" r:id="rId19"/>
    <sheet name="Sheet6" sheetId="29" r:id="rId20"/>
    <sheet name="decadal growth rate vs S.R. " sheetId="19" r:id="rId21"/>
  </sheets>
  <definedNames>
    <definedName name="_xlcn.WorksheetConnection_exceletpproject.xlsxTable41" hidden="1">Table4[]</definedName>
    <definedName name="_xlcn.WorksheetConnection_exceletpproject.xlsxTable51" hidden="1">Table5[]</definedName>
    <definedName name="_xlcn.WorksheetConnection_propro111111.xlsxCSR1" hidden="1">CSR[]</definedName>
    <definedName name="_xlcn.WorksheetConnection_propro111111.xlsxSexRatio1" hidden="1">SexRatio[]</definedName>
    <definedName name="_xlcn.WorksheetConnection_propro111111.xlsxTable31" hidden="1">Literacy_rate[]</definedName>
    <definedName name="dgr_vs_sr_pivot">'7)DGR_VS_SR_PIVOT'!$A$3:$C$39</definedName>
    <definedName name="dgr_vs_sr_table">Table4[#All]</definedName>
    <definedName name="literacy_rate_sr_table">Table5[#All]</definedName>
    <definedName name="lr_vs_sr_pivot">'6)LR_VS_SR_PIVOT'!$A$3:$C$39</definedName>
    <definedName name="LR_VS_SR_TABLE">Table5[#All]</definedName>
    <definedName name="Slicer_Sub_category">#N/A</definedName>
    <definedName name="Slicer_Sub_category1">#N/A</definedName>
    <definedName name="Slicer_Sub_category2">#N/A</definedName>
    <definedName name="Slicer_Sub_category3">#N/A</definedName>
    <definedName name="Slicer_Sub_category4">#N/A</definedName>
    <definedName name="Slicer_Sub_category5">#N/A</definedName>
    <definedName name="Slicer_ZONES">#N/A</definedName>
    <definedName name="Slicer_ZONES1">#N/A</definedName>
  </definedNames>
  <calcPr calcId="181029"/>
  <pivotCaches>
    <pivotCache cacheId="0" r:id="rId22"/>
    <pivotCache cacheId="1" r:id="rId23"/>
    <pivotCache cacheId="2" r:id="rId24"/>
    <pivotCache cacheId="3" r:id="rId25"/>
    <pivotCache cacheId="4" r:id="rId26"/>
    <pivotCache cacheId="5" r:id="rId27"/>
    <pivotCache cacheId="6" r:id="rId28"/>
    <pivotCache cacheId="7" r:id="rId29"/>
    <pivotCache cacheId="8" r:id="rId30"/>
  </pivotCaches>
  <extLst>
    <ext xmlns:x14="http://schemas.microsoft.com/office/spreadsheetml/2009/9/main" uri="{876F7934-8845-4945-9796-88D515C7AA90}">
      <x14:pivotCaches>
        <pivotCache cacheId="9" r:id="rId31"/>
        <pivotCache cacheId="10" r:id="rId32"/>
        <pivotCache cacheId="11" r:id="rId33"/>
      </x14:pivotCaches>
    </ext>
    <ext xmlns:x14="http://schemas.microsoft.com/office/spreadsheetml/2009/9/main" uri="{BBE1A952-AA13-448e-AADC-164F8A28A991}">
      <x14:slicerCaches>
        <x14:slicerCache r:id="rId34"/>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3-2712c80d-96dd-4700-bfd0-d929c96cf14d" name="Table3" connection="WorksheetConnection_propro111111.xlsx!Table3"/>
          <x15:modelTable id="SexRatio-71e0daac-53a2-48a8-8c6b-9d1b6ee6588c" name="SexRatio" connection="WorksheetConnection_propro111111.xlsx!SexRatio"/>
          <x15:modelTable id="CSR-08247d16-046f-4183-989a-445e07a85074" name="CSR" connection="WorksheetConnection_propro111111.xlsx!CSR"/>
          <x15:modelTable id="Table5-682d32d8-d849-4d2c-a193-55aa4daa8729" name="Table5" connection="WorksheetConnection_excel etp project.xlsx!Table5"/>
          <x15:modelTable id="Table4-3a548e2c-70cf-433f-ba4e-a8782eb2d454" name="Table4" connection="WorksheetConnection_excel etp project.xlsx!Table4"/>
        </x15:modelTables>
        <x15:modelRelationships>
          <x15:modelRelationship fromTable="CSR" fromColumn="Sub-category" toTable="SexRatio" toColumn="Sub-category"/>
          <x15:modelRelationship fromTable="Table3" fromColumn="Sub-category" toTable="SexRatio" toColumn="Sub-category"/>
          <x15:modelRelationship fromTable="Table4" fromColumn="Sub-category" toTable="SexRatio" toColumn="Sub-category"/>
          <x15:modelRelationship fromTable="Table5" fromColumn="Sub-category" toTable="SexRatio" toColumn="Sub-category"/>
        </x15:modelRelationships>
      </x15:dataModel>
    </ext>
  </extLst>
</workbook>
</file>

<file path=xl/calcChain.xml><?xml version="1.0" encoding="utf-8"?>
<calcChain xmlns="http://schemas.openxmlformats.org/spreadsheetml/2006/main">
  <c r="O117" i="12" l="1"/>
  <c r="F44" i="1" l="1"/>
  <c r="E44" i="1"/>
  <c r="H2" i="19" l="1"/>
  <c r="F37" i="19"/>
  <c r="E45" i="1" l="1"/>
  <c r="F45" i="1"/>
  <c r="G45" i="1"/>
  <c r="H45" i="1"/>
  <c r="I45" i="1"/>
  <c r="D45" i="1"/>
  <c r="I36" i="19" l="1"/>
  <c r="I23" i="19"/>
  <c r="I10" i="19"/>
  <c r="I11" i="19"/>
  <c r="I12" i="19"/>
  <c r="I13" i="19"/>
  <c r="I14" i="19"/>
  <c r="I16" i="19"/>
  <c r="I17" i="19"/>
  <c r="H18" i="19"/>
  <c r="H19" i="19"/>
  <c r="H20" i="19"/>
  <c r="H11" i="19"/>
  <c r="H12" i="19"/>
  <c r="H13" i="19"/>
  <c r="H14" i="19"/>
  <c r="H15" i="19"/>
  <c r="H7" i="19"/>
  <c r="E41" i="1"/>
  <c r="F41" i="1"/>
  <c r="G41" i="1"/>
  <c r="H41" i="1"/>
  <c r="I41" i="1"/>
  <c r="D41" i="1"/>
  <c r="I44" i="1" l="1"/>
  <c r="H44" i="1"/>
  <c r="G44" i="1"/>
  <c r="D44" i="1"/>
  <c r="I43" i="1"/>
  <c r="H43" i="1"/>
  <c r="G42" i="1"/>
  <c r="G43" i="1"/>
  <c r="F43" i="1"/>
  <c r="E43" i="1"/>
  <c r="D43" i="1"/>
  <c r="I42" i="1"/>
  <c r="H42" i="1"/>
  <c r="F42" i="1"/>
  <c r="E42" i="1"/>
  <c r="D42" i="1"/>
  <c r="O121" i="12" l="1"/>
  <c r="O120" i="12"/>
  <c r="O118" i="12"/>
  <c r="I31" i="19"/>
  <c r="I29" i="19"/>
  <c r="I5" i="19"/>
  <c r="I30" i="19"/>
  <c r="I18" i="19"/>
  <c r="I22" i="19"/>
  <c r="I24" i="19"/>
  <c r="I27" i="19"/>
  <c r="I19" i="19"/>
  <c r="I28" i="19"/>
  <c r="I33" i="19"/>
  <c r="I8" i="19"/>
  <c r="I6" i="19"/>
  <c r="I26" i="19"/>
  <c r="I21" i="19"/>
  <c r="I20" i="19"/>
  <c r="I9" i="19"/>
  <c r="I34" i="19"/>
  <c r="I4" i="19"/>
  <c r="I15" i="19"/>
  <c r="I7" i="19"/>
  <c r="I35" i="19"/>
  <c r="I25" i="19"/>
  <c r="I32" i="19"/>
  <c r="I2" i="19"/>
  <c r="I3" i="19"/>
  <c r="F36" i="19"/>
  <c r="F35" i="19"/>
  <c r="F34" i="19"/>
  <c r="F33" i="19"/>
  <c r="F32" i="19"/>
  <c r="F31" i="19"/>
  <c r="F30" i="19"/>
  <c r="F29" i="19"/>
  <c r="F28" i="19"/>
  <c r="H28" i="19" s="1"/>
  <c r="F27" i="19"/>
  <c r="F26" i="19"/>
  <c r="F25" i="19"/>
  <c r="F24" i="19"/>
  <c r="F23" i="19"/>
  <c r="F22" i="19"/>
  <c r="F21" i="19"/>
  <c r="F20" i="19"/>
  <c r="J20" i="19" s="1"/>
  <c r="F19" i="19"/>
  <c r="J19" i="19" s="1"/>
  <c r="F15" i="19"/>
  <c r="F11" i="19"/>
  <c r="F13" i="19"/>
  <c r="F17" i="19"/>
  <c r="F8" i="19"/>
  <c r="F3" i="19"/>
  <c r="F2" i="19"/>
  <c r="F5" i="19"/>
  <c r="F7" i="19"/>
  <c r="F9" i="19"/>
  <c r="F18" i="19"/>
  <c r="F6" i="19"/>
  <c r="F10" i="19"/>
  <c r="F4" i="19"/>
  <c r="F14" i="19"/>
  <c r="F16" i="19"/>
  <c r="F12" i="19"/>
  <c r="J6" i="19" l="1"/>
  <c r="H23" i="19"/>
  <c r="H31" i="19"/>
  <c r="J31" i="19" s="1"/>
  <c r="H24" i="19"/>
  <c r="J24" i="19" s="1"/>
  <c r="H32" i="19"/>
  <c r="H33" i="19"/>
  <c r="H25" i="19"/>
  <c r="J25" i="19" s="1"/>
  <c r="H26" i="19"/>
  <c r="H34" i="19"/>
  <c r="J34" i="19" s="1"/>
  <c r="H27" i="19"/>
  <c r="J27" i="19" s="1"/>
  <c r="H35" i="19"/>
  <c r="J35" i="19" s="1"/>
  <c r="H36" i="19"/>
  <c r="J36" i="19" s="1"/>
  <c r="H29" i="19"/>
  <c r="H22" i="19"/>
  <c r="J22" i="19" s="1"/>
  <c r="H30" i="19"/>
  <c r="J12" i="19"/>
  <c r="J14" i="19"/>
  <c r="H10" i="19"/>
  <c r="J10" i="19" s="1"/>
  <c r="J15" i="19"/>
  <c r="J18" i="19"/>
  <c r="J11" i="19"/>
  <c r="H3" i="19"/>
  <c r="J3" i="19" s="1"/>
  <c r="H16" i="19"/>
  <c r="J16" i="19" s="1"/>
  <c r="H8" i="19"/>
  <c r="J8" i="19" s="1"/>
  <c r="H17" i="19"/>
  <c r="J17" i="19" s="1"/>
  <c r="H9" i="19"/>
  <c r="J9" i="19" s="1"/>
  <c r="J2" i="19"/>
  <c r="J28" i="19"/>
  <c r="J32" i="19"/>
  <c r="J13" i="19"/>
  <c r="H4" i="19"/>
  <c r="J4" i="19" s="1"/>
  <c r="J23" i="19"/>
  <c r="H5" i="19"/>
  <c r="J5" i="19" s="1"/>
  <c r="H21" i="19"/>
  <c r="J21" i="19" s="1"/>
  <c r="J7" i="19"/>
  <c r="J33" i="19"/>
  <c r="J29" i="19"/>
  <c r="J26" i="19"/>
  <c r="J30" i="19"/>
  <c r="F31" i="13"/>
  <c r="F35" i="13"/>
  <c r="F27" i="13"/>
  <c r="F22" i="13"/>
  <c r="F20" i="13"/>
  <c r="F34" i="13"/>
  <c r="F33" i="13"/>
  <c r="F24" i="13"/>
  <c r="F36" i="13"/>
  <c r="F5" i="13"/>
  <c r="F6" i="13"/>
  <c r="F14" i="13"/>
  <c r="F2" i="13"/>
  <c r="F4" i="13"/>
  <c r="F28" i="13"/>
  <c r="F23" i="13"/>
  <c r="F3" i="13"/>
  <c r="F26" i="13"/>
  <c r="F15" i="13"/>
  <c r="F16" i="13"/>
  <c r="F17" i="13"/>
  <c r="F29" i="13"/>
  <c r="F13" i="13"/>
  <c r="F7" i="13"/>
  <c r="F32" i="13"/>
  <c r="F30" i="13"/>
  <c r="F8" i="13"/>
  <c r="F9" i="13"/>
  <c r="F21" i="13"/>
  <c r="F25" i="13"/>
  <c r="F19" i="13"/>
  <c r="F18" i="13"/>
  <c r="F10" i="13"/>
  <c r="F11" i="13"/>
  <c r="F12" i="13"/>
  <c r="J38" i="1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excel etp project.xlsx!Table4" type="102" refreshedVersion="5" minRefreshableVersion="5">
    <extLst>
      <ext xmlns:x15="http://schemas.microsoft.com/office/spreadsheetml/2010/11/main" uri="{DE250136-89BD-433C-8126-D09CA5730AF9}">
        <x15:connection id="Table4-3a548e2c-70cf-433f-ba4e-a8782eb2d454" autoDelete="1">
          <x15:rangePr sourceName="_xlcn.WorksheetConnection_exceletpproject.xlsxTable41"/>
        </x15:connection>
      </ext>
    </extLst>
  </connection>
  <connection id="3" xr16:uid="{00000000-0015-0000-FFFF-FFFF02000000}" name="WorksheetConnection_excel etp project.xlsx!Table5" type="102" refreshedVersion="5" minRefreshableVersion="5">
    <extLst>
      <ext xmlns:x15="http://schemas.microsoft.com/office/spreadsheetml/2010/11/main" uri="{DE250136-89BD-433C-8126-D09CA5730AF9}">
        <x15:connection id="Table5-682d32d8-d849-4d2c-a193-55aa4daa8729" autoDelete="1">
          <x15:rangePr sourceName="_xlcn.WorksheetConnection_exceletpproject.xlsxTable51"/>
        </x15:connection>
      </ext>
    </extLst>
  </connection>
  <connection id="4" xr16:uid="{00000000-0015-0000-FFFF-FFFF03000000}" name="WorksheetConnection_propro111111.xlsx!CSR" type="102" refreshedVersion="5" minRefreshableVersion="5">
    <extLst>
      <ext xmlns:x15="http://schemas.microsoft.com/office/spreadsheetml/2010/11/main" uri="{DE250136-89BD-433C-8126-D09CA5730AF9}">
        <x15:connection id="CSR-08247d16-046f-4183-989a-445e07a85074" autoDelete="1">
          <x15:rangePr sourceName="_xlcn.WorksheetConnection_propro111111.xlsxCSR1"/>
        </x15:connection>
      </ext>
    </extLst>
  </connection>
  <connection id="5" xr16:uid="{00000000-0015-0000-FFFF-FFFF04000000}" name="WorksheetConnection_propro111111.xlsx!SexRatio" type="102" refreshedVersion="5" minRefreshableVersion="5">
    <extLst>
      <ext xmlns:x15="http://schemas.microsoft.com/office/spreadsheetml/2010/11/main" uri="{DE250136-89BD-433C-8126-D09CA5730AF9}">
        <x15:connection id="SexRatio-71e0daac-53a2-48a8-8c6b-9d1b6ee6588c">
          <x15:rangePr sourceName="_xlcn.WorksheetConnection_propro111111.xlsxSexRatio1"/>
        </x15:connection>
      </ext>
    </extLst>
  </connection>
  <connection id="6" xr16:uid="{00000000-0015-0000-FFFF-FFFF05000000}" name="WorksheetConnection_propro111111.xlsx!Table3" type="102" refreshedVersion="5" minRefreshableVersion="5">
    <extLst>
      <ext xmlns:x15="http://schemas.microsoft.com/office/spreadsheetml/2010/11/main" uri="{DE250136-89BD-433C-8126-D09CA5730AF9}">
        <x15:connection id="Table3-2712c80d-96dd-4700-bfd0-d929c96cf14d" autoDelete="1">
          <x15:rangePr sourceName="_xlcn.WorksheetConnection_propro111111.xlsxTable31"/>
        </x15:connection>
      </ext>
    </extLst>
  </connection>
</connections>
</file>

<file path=xl/sharedStrings.xml><?xml version="1.0" encoding="utf-8"?>
<sst xmlns="http://schemas.openxmlformats.org/spreadsheetml/2006/main" count="692" uniqueCount="130">
  <si>
    <t>Category</t>
  </si>
  <si>
    <t>Sub-category</t>
  </si>
  <si>
    <t xml:space="preserve"> Total - 2001</t>
  </si>
  <si>
    <t xml:space="preserve"> Total - 2011</t>
  </si>
  <si>
    <t xml:space="preserve"> Rural - 2001</t>
  </si>
  <si>
    <t xml:space="preserve"> Rural - 2011</t>
  </si>
  <si>
    <t>Urban - 2001</t>
  </si>
  <si>
    <t>Urban - 2011</t>
  </si>
  <si>
    <t>Country</t>
  </si>
  <si>
    <t>INDIA</t>
  </si>
  <si>
    <t>State</t>
  </si>
  <si>
    <t>Andhra Pradesh</t>
  </si>
  <si>
    <t>Arunachal Pradesh</t>
  </si>
  <si>
    <t>Assam</t>
  </si>
  <si>
    <t>Bihar</t>
  </si>
  <si>
    <t>Chhattisgarh</t>
  </si>
  <si>
    <t>Goa</t>
  </si>
  <si>
    <t>Gujarat</t>
  </si>
  <si>
    <t>Haryana</t>
  </si>
  <si>
    <t>Himachal Pradesh</t>
  </si>
  <si>
    <t>Jammu &amp; Kashmir</t>
  </si>
  <si>
    <t>Jharkhand</t>
  </si>
  <si>
    <t>Karnataka</t>
  </si>
  <si>
    <t>Kerala</t>
  </si>
  <si>
    <t>Madhya Pradesh</t>
  </si>
  <si>
    <t>Maharashtra</t>
  </si>
  <si>
    <t>Manipur</t>
  </si>
  <si>
    <t>Meghalaya</t>
  </si>
  <si>
    <t>Mizoram</t>
  </si>
  <si>
    <t>Nagaland</t>
  </si>
  <si>
    <t>Odisha</t>
  </si>
  <si>
    <t>Punjab</t>
  </si>
  <si>
    <t>Rajasthan</t>
  </si>
  <si>
    <t>Sikkim</t>
  </si>
  <si>
    <t>Tamil Nadu</t>
  </si>
  <si>
    <t>Tripura</t>
  </si>
  <si>
    <t>Uttar Pradesh</t>
  </si>
  <si>
    <t>Uttarakhand</t>
  </si>
  <si>
    <t>West Bengal</t>
  </si>
  <si>
    <t>Union Territory</t>
  </si>
  <si>
    <t>A &amp; N Islands</t>
  </si>
  <si>
    <t>Chandigarh</t>
  </si>
  <si>
    <t>D &amp; N Haveli</t>
  </si>
  <si>
    <t>Daman &amp; Diu</t>
  </si>
  <si>
    <t>Lakshadweep</t>
  </si>
  <si>
    <t>NCT of Delhi</t>
  </si>
  <si>
    <t>Puducherry</t>
  </si>
  <si>
    <t>Row Labels</t>
  </si>
  <si>
    <t>Grand Total</t>
  </si>
  <si>
    <t>Total - 2011</t>
  </si>
  <si>
    <t>Total - 2001</t>
  </si>
  <si>
    <t>2011-2001 difference</t>
  </si>
  <si>
    <t>Ratio 2001</t>
  </si>
  <si>
    <t>Ratio -2011</t>
  </si>
  <si>
    <t>CSR Total - 2001</t>
  </si>
  <si>
    <t>CSR Total - 2011</t>
  </si>
  <si>
    <t>CSR Rural - 2001</t>
  </si>
  <si>
    <t>CSR Rural - 2011</t>
  </si>
  <si>
    <t>CSR Urban - 2001</t>
  </si>
  <si>
    <t>CSR Urban - 2011</t>
  </si>
  <si>
    <t>Sum of CSR Total - 2001</t>
  </si>
  <si>
    <t>Sum of CSR Total - 2011</t>
  </si>
  <si>
    <t>Sum of Total - 2001</t>
  </si>
  <si>
    <t>Sum of Total - 2011</t>
  </si>
  <si>
    <t>Literacy Rate-2001</t>
  </si>
  <si>
    <t>Literacy Rate-2011</t>
  </si>
  <si>
    <t>RANK(L.R.)</t>
  </si>
  <si>
    <t>RANK(S.R.)</t>
  </si>
  <si>
    <t>D^2</t>
  </si>
  <si>
    <t>.00-.19</t>
  </si>
  <si>
    <t>VERY WEAK</t>
  </si>
  <si>
    <t>.20-.39</t>
  </si>
  <si>
    <t>WEAK</t>
  </si>
  <si>
    <t>.40-.59</t>
  </si>
  <si>
    <t>MODERATE</t>
  </si>
  <si>
    <t>.60-.79</t>
  </si>
  <si>
    <t>STRONG</t>
  </si>
  <si>
    <t>.80-1.0</t>
  </si>
  <si>
    <t>VERY STRONG</t>
  </si>
  <si>
    <t>DASHBOARD FOR SEX RATIO OF INDIA (2001-2011)</t>
  </si>
  <si>
    <t>ZONES</t>
  </si>
  <si>
    <t>South</t>
  </si>
  <si>
    <t>North East</t>
  </si>
  <si>
    <t>East</t>
  </si>
  <si>
    <t>Central</t>
  </si>
  <si>
    <t>West</t>
  </si>
  <si>
    <t>North</t>
  </si>
  <si>
    <t>U.T.</t>
  </si>
  <si>
    <t>Sum of  Rural - 2001</t>
  </si>
  <si>
    <t>Sum of  Rural - 2011</t>
  </si>
  <si>
    <t>Sum of Urban - 2001</t>
  </si>
  <si>
    <t>Sum of Urban - 2011</t>
  </si>
  <si>
    <t>COEFFICIENT</t>
  </si>
  <si>
    <t>CORRELATION</t>
  </si>
  <si>
    <t>MAX</t>
  </si>
  <si>
    <t>MIN</t>
  </si>
  <si>
    <t>VARIANCE</t>
  </si>
  <si>
    <t xml:space="preserve">MATHEMATICAL </t>
  </si>
  <si>
    <t>STATISTICS</t>
  </si>
  <si>
    <t>TOTAL</t>
  </si>
  <si>
    <t>RURAL</t>
  </si>
  <si>
    <t>URBAN</t>
  </si>
  <si>
    <t>STANDARD</t>
  </si>
  <si>
    <t>DEVIATION</t>
  </si>
  <si>
    <t>DGR -2001-11</t>
  </si>
  <si>
    <t>Difference</t>
  </si>
  <si>
    <t>RANK DGR</t>
  </si>
  <si>
    <t>RANK DIFF.</t>
  </si>
  <si>
    <t>(RANK DGR-RANK DIFF.)^2</t>
  </si>
  <si>
    <t>SUM</t>
  </si>
  <si>
    <t>(N^3-N)</t>
  </si>
  <si>
    <t>NEGATIVE CORRELATION</t>
  </si>
  <si>
    <t>POSITIVE CORRELATION</t>
  </si>
  <si>
    <t>R</t>
  </si>
  <si>
    <t>Sum of RANK(L.R.)</t>
  </si>
  <si>
    <t>Sum of RANK(S.R.)</t>
  </si>
  <si>
    <t>(N³-N)</t>
  </si>
  <si>
    <t>VALUES</t>
  </si>
  <si>
    <t>Sum of AVERAGE</t>
  </si>
  <si>
    <t>% CHANGE FROM SR-2001</t>
  </si>
  <si>
    <t>% CHANGE From SR-2011</t>
  </si>
  <si>
    <t>STDANDARD DEV.</t>
  </si>
  <si>
    <t>6(D²)/(N³-N)</t>
  </si>
  <si>
    <t>6(D²)</t>
  </si>
  <si>
    <t>6*D²</t>
  </si>
  <si>
    <t>AVERAGE</t>
  </si>
  <si>
    <t>Sum of  Total - 2001</t>
  </si>
  <si>
    <t>Sum of  Total - 2011</t>
  </si>
  <si>
    <t>Sum of Difference</t>
  </si>
  <si>
    <t>Sum of Literacy Rate-2001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</si>
</sst>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0.0000"/>
  </numFmts>
  <fonts count="27">
    <font>
      <sz val="12"/>
      <color theme="1"/>
      <name val="Arial Rounded MT Bold"/>
      <family val="2"/>
    </font>
    <font>
      <sz val="12"/>
      <color theme="1"/>
      <name val="Arial Rounded MT Bold"/>
      <family val="2"/>
    </font>
    <font>
      <sz val="18"/>
      <color theme="3"/>
      <name val="Calibri Light"/>
      <family val="2"/>
      <scheme val="major"/>
    </font>
    <font>
      <b/>
      <sz val="15"/>
      <color theme="3"/>
      <name val="Arial Rounded MT Bold"/>
      <family val="2"/>
    </font>
    <font>
      <b/>
      <sz val="13"/>
      <color theme="3"/>
      <name val="Arial Rounded MT Bold"/>
      <family val="2"/>
    </font>
    <font>
      <b/>
      <sz val="11"/>
      <color theme="3"/>
      <name val="Arial Rounded MT Bold"/>
      <family val="2"/>
    </font>
    <font>
      <sz val="12"/>
      <color rgb="FF006100"/>
      <name val="Arial Rounded MT Bold"/>
      <family val="2"/>
    </font>
    <font>
      <sz val="12"/>
      <color rgb="FF9C0006"/>
      <name val="Arial Rounded MT Bold"/>
      <family val="2"/>
    </font>
    <font>
      <sz val="12"/>
      <color rgb="FF9C6500"/>
      <name val="Arial Rounded MT Bold"/>
      <family val="2"/>
    </font>
    <font>
      <sz val="12"/>
      <color rgb="FF3F3F76"/>
      <name val="Arial Rounded MT Bold"/>
      <family val="2"/>
    </font>
    <font>
      <b/>
      <sz val="12"/>
      <color rgb="FF3F3F3F"/>
      <name val="Arial Rounded MT Bold"/>
      <family val="2"/>
    </font>
    <font>
      <b/>
      <sz val="12"/>
      <color rgb="FFFA7D00"/>
      <name val="Arial Rounded MT Bold"/>
      <family val="2"/>
    </font>
    <font>
      <sz val="12"/>
      <color rgb="FFFA7D00"/>
      <name val="Arial Rounded MT Bold"/>
      <family val="2"/>
    </font>
    <font>
      <b/>
      <sz val="12"/>
      <color theme="0"/>
      <name val="Arial Rounded MT Bold"/>
      <family val="2"/>
    </font>
    <font>
      <sz val="12"/>
      <color rgb="FFFF0000"/>
      <name val="Arial Rounded MT Bold"/>
      <family val="2"/>
    </font>
    <font>
      <i/>
      <sz val="12"/>
      <color rgb="FF7F7F7F"/>
      <name val="Arial Rounded MT Bold"/>
      <family val="2"/>
    </font>
    <font>
      <b/>
      <sz val="12"/>
      <color theme="1"/>
      <name val="Arial Rounded MT Bold"/>
      <family val="2"/>
    </font>
    <font>
      <sz val="12"/>
      <color theme="0"/>
      <name val="Arial Rounded MT Bold"/>
      <family val="2"/>
    </font>
    <font>
      <sz val="26"/>
      <color theme="4" tint="-0.499984740745262"/>
      <name val="Bernard MT Condensed"/>
      <family val="1"/>
    </font>
    <font>
      <sz val="12"/>
      <color theme="4" tint="0.39997558519241921"/>
      <name val="Arial Rounded MT Bold"/>
      <family val="2"/>
    </font>
    <font>
      <sz val="14"/>
      <color theme="1"/>
      <name val="AR CENA"/>
    </font>
    <font>
      <b/>
      <sz val="18"/>
      <color theme="0"/>
      <name val="Calibri"/>
      <family val="2"/>
    </font>
    <font>
      <b/>
      <sz val="18"/>
      <color theme="6" tint="-0.499984740745262"/>
      <name val="Calibri"/>
      <family val="2"/>
      <scheme val="minor"/>
    </font>
    <font>
      <sz val="18"/>
      <color theme="0"/>
      <name val="Arial Rounded MT Bold"/>
      <family val="2"/>
    </font>
    <font>
      <sz val="18"/>
      <color theme="1"/>
      <name val="AR CENA"/>
    </font>
    <font>
      <sz val="18"/>
      <color theme="1"/>
      <name val="Arial Rounded MT Bold"/>
      <family val="2"/>
    </font>
    <font>
      <sz val="12"/>
      <color theme="2" tint="-0.89999084444715716"/>
      <name val="Arial Rounded MT Bold"/>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499984740745262"/>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4" tint="-0.249977111117893"/>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0"/>
        <bgColor indexed="64"/>
      </patternFill>
    </fill>
    <fill>
      <patternFill patternType="solid">
        <fgColor theme="2" tint="-0.749992370372631"/>
        <bgColor indexed="64"/>
      </patternFill>
    </fill>
    <fill>
      <patternFill patternType="solid">
        <fgColor theme="1" tint="0.499984740745262"/>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43" fontId="1" fillId="0" borderId="0" applyFont="0" applyFill="0" applyBorder="0" applyAlignment="0" applyProtection="0"/>
  </cellStyleXfs>
  <cellXfs count="64">
    <xf numFmtId="0" fontId="0" fillId="0" borderId="0" xfId="0"/>
    <xf numFmtId="0" fontId="0" fillId="33" borderId="0" xfId="0" applyFill="1"/>
    <xf numFmtId="0" fontId="0" fillId="34" borderId="0" xfId="0" applyFill="1"/>
    <xf numFmtId="0" fontId="18" fillId="34" borderId="0" xfId="0" applyFont="1" applyFill="1"/>
    <xf numFmtId="0" fontId="19" fillId="35" borderId="0" xfId="0" applyFont="1" applyFill="1"/>
    <xf numFmtId="0" fontId="0" fillId="36" borderId="0" xfId="0" applyFill="1"/>
    <xf numFmtId="0" fontId="0" fillId="38" borderId="0" xfId="0" applyFill="1"/>
    <xf numFmtId="0" fontId="0" fillId="39" borderId="0" xfId="0" applyFill="1" applyAlignment="1">
      <alignment horizontal="left"/>
    </xf>
    <xf numFmtId="0" fontId="0" fillId="39" borderId="0" xfId="0" applyNumberFormat="1" applyFill="1"/>
    <xf numFmtId="0" fontId="0" fillId="35" borderId="0" xfId="0" applyFill="1"/>
    <xf numFmtId="0" fontId="0" fillId="35" borderId="0" xfId="0" applyFill="1" applyAlignment="1">
      <alignment horizontal="left"/>
    </xf>
    <xf numFmtId="0" fontId="0" fillId="35" borderId="0" xfId="0" applyNumberFormat="1" applyFill="1"/>
    <xf numFmtId="0" fontId="0" fillId="36" borderId="0" xfId="0" applyFill="1" applyAlignment="1">
      <alignment horizontal="left"/>
    </xf>
    <xf numFmtId="0" fontId="0" fillId="36" borderId="0" xfId="0" applyNumberFormat="1" applyFill="1"/>
    <xf numFmtId="0" fontId="0" fillId="38" borderId="0" xfId="0" applyFill="1" applyAlignment="1">
      <alignment horizontal="left"/>
    </xf>
    <xf numFmtId="0" fontId="0" fillId="38" borderId="0" xfId="0" applyNumberFormat="1" applyFill="1"/>
    <xf numFmtId="2" fontId="0" fillId="38" borderId="0" xfId="0" applyNumberFormat="1" applyFill="1"/>
    <xf numFmtId="2" fontId="0" fillId="34" borderId="0" xfId="0" applyNumberFormat="1" applyFill="1"/>
    <xf numFmtId="2" fontId="0" fillId="35" borderId="0" xfId="0" applyNumberFormat="1" applyFill="1"/>
    <xf numFmtId="0" fontId="19" fillId="37" borderId="0" xfId="0" applyFont="1" applyFill="1"/>
    <xf numFmtId="0" fontId="0" fillId="40" borderId="0" xfId="0" applyFill="1"/>
    <xf numFmtId="43" fontId="0" fillId="34" borderId="0" xfId="42" applyFont="1" applyFill="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29" xfId="0" applyBorder="1"/>
    <xf numFmtId="0" fontId="21" fillId="42" borderId="18" xfId="0" applyFont="1" applyFill="1" applyBorder="1" applyAlignment="1">
      <alignment vertical="center" wrapText="1"/>
    </xf>
    <xf numFmtId="0" fontId="21" fillId="42" borderId="19" xfId="0" applyFont="1" applyFill="1" applyBorder="1" applyAlignment="1">
      <alignment vertical="center" wrapText="1"/>
    </xf>
    <xf numFmtId="0" fontId="21" fillId="42" borderId="20" xfId="0" applyFont="1" applyFill="1" applyBorder="1" applyAlignment="1">
      <alignment vertical="center" wrapText="1"/>
    </xf>
    <xf numFmtId="0" fontId="21" fillId="42" borderId="10" xfId="0" applyFont="1" applyFill="1" applyBorder="1" applyAlignment="1">
      <alignment vertical="center" wrapText="1"/>
    </xf>
    <xf numFmtId="0" fontId="21" fillId="42" borderId="11" xfId="0" applyFont="1" applyFill="1" applyBorder="1" applyAlignment="1">
      <alignment vertical="center" wrapText="1"/>
    </xf>
    <xf numFmtId="0" fontId="22" fillId="0" borderId="11" xfId="0" applyFont="1" applyBorder="1" applyAlignment="1">
      <alignment vertical="center" wrapText="1"/>
    </xf>
    <xf numFmtId="0" fontId="22" fillId="0" borderId="18" xfId="0" applyFont="1" applyBorder="1" applyAlignment="1">
      <alignment vertical="center" wrapText="1"/>
    </xf>
    <xf numFmtId="0" fontId="22" fillId="0" borderId="19" xfId="0" applyFont="1" applyBorder="1" applyAlignment="1">
      <alignment vertical="center" wrapText="1"/>
    </xf>
    <xf numFmtId="0" fontId="23" fillId="42" borderId="0" xfId="0" applyFont="1" applyFill="1"/>
    <xf numFmtId="164" fontId="23" fillId="42" borderId="0" xfId="0" applyNumberFormat="1" applyFont="1" applyFill="1"/>
    <xf numFmtId="0" fontId="20" fillId="42" borderId="12" xfId="0" applyFont="1" applyFill="1" applyBorder="1"/>
    <xf numFmtId="0" fontId="20" fillId="42" borderId="13" xfId="0" applyFont="1" applyFill="1" applyBorder="1"/>
    <xf numFmtId="0" fontId="24" fillId="41" borderId="14" xfId="0" applyFont="1" applyFill="1" applyBorder="1"/>
    <xf numFmtId="0" fontId="24" fillId="41" borderId="15" xfId="0" applyFont="1" applyFill="1" applyBorder="1"/>
    <xf numFmtId="0" fontId="25" fillId="41" borderId="14" xfId="0" applyFont="1" applyFill="1" applyBorder="1"/>
    <xf numFmtId="0" fontId="25" fillId="41" borderId="15" xfId="0" applyFont="1" applyFill="1" applyBorder="1"/>
    <xf numFmtId="0" fontId="25" fillId="41" borderId="16" xfId="0" applyFont="1" applyFill="1" applyBorder="1"/>
    <xf numFmtId="0" fontId="25" fillId="41" borderId="17" xfId="0" applyFont="1" applyFill="1" applyBorder="1"/>
    <xf numFmtId="0" fontId="0" fillId="43" borderId="0" xfId="0" applyFill="1"/>
    <xf numFmtId="0" fontId="26" fillId="35" borderId="0" xfId="0" applyFont="1" applyFill="1"/>
    <xf numFmtId="43" fontId="26" fillId="35" borderId="0" xfId="42" applyFont="1" applyFill="1"/>
    <xf numFmtId="0" fontId="16" fillId="0" borderId="0" xfId="0" applyFont="1" applyAlignment="1">
      <alignment horizontal="center" vertical="center" wrapText="1"/>
    </xf>
    <xf numFmtId="0" fontId="0" fillId="0" borderId="0" xfId="0" applyAlignment="1">
      <alignment vertical="center" wrapText="1"/>
    </xf>
    <xf numFmtId="0" fontId="0" fillId="38" borderId="30" xfId="0" applyFill="1" applyBorder="1"/>
    <xf numFmtId="0" fontId="0" fillId="34" borderId="0" xfId="0" applyFill="1" applyAlignment="1">
      <alignment horizontal="left"/>
    </xf>
    <xf numFmtId="0" fontId="0" fillId="34" borderId="0" xfId="0" applyNumberFormat="1" applyFill="1"/>
    <xf numFmtId="0" fontId="0" fillId="34" borderId="0" xfId="0" applyFill="1" applyAlignment="1">
      <alignment horizontal="left" indent="1"/>
    </xf>
    <xf numFmtId="0" fontId="0" fillId="0" borderId="0" xfId="0" pivotButton="1"/>
    <xf numFmtId="0" fontId="0" fillId="0" borderId="0" xfId="0" applyAlignment="1">
      <alignment horizontal="left"/>
    </xf>
    <xf numFmtId="0" fontId="0" fillId="0" borderId="0" xfId="0" applyNumberFormat="1"/>
    <xf numFmtId="0" fontId="26" fillId="35" borderId="0" xfId="0" applyNumberFormat="1" applyFont="1" applyFill="1"/>
    <xf numFmtId="0" fontId="22" fillId="0" borderId="18" xfId="0" applyFont="1" applyBorder="1" applyAlignment="1">
      <alignment vertical="center" wrapText="1"/>
    </xf>
    <xf numFmtId="0" fontId="22" fillId="0" borderId="19" xfId="0" applyFont="1" applyBorder="1" applyAlignment="1">
      <alignment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30">
    <dxf>
      <font>
        <b val="0"/>
        <i val="0"/>
        <strike val="0"/>
        <condense val="0"/>
        <extend val="0"/>
        <outline val="0"/>
        <shadow val="0"/>
        <u val="none"/>
        <vertAlign val="baseline"/>
        <sz val="12"/>
        <color theme="2" tint="-0.89999084444715716"/>
        <name val="Arial Rounded MT Bold"/>
        <family val="2"/>
        <scheme val="none"/>
      </font>
      <numFmt numFmtId="0" formatCode="General"/>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numFmt numFmtId="0" formatCode="General"/>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numFmt numFmtId="0" formatCode="General"/>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numFmt numFmtId="0" formatCode="General"/>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numFmt numFmtId="0" formatCode="General"/>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numFmt numFmtId="0" formatCode="General"/>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b val="0"/>
        <i val="0"/>
        <strike val="0"/>
        <condense val="0"/>
        <extend val="0"/>
        <outline val="0"/>
        <shadow val="0"/>
        <u val="none"/>
        <vertAlign val="baseline"/>
        <sz val="12"/>
        <color theme="2" tint="-0.89999084444715716"/>
        <name val="Arial Rounded MT Bold"/>
        <family val="2"/>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ont>
        <strike val="0"/>
        <outline val="0"/>
        <shadow val="0"/>
        <u val="none"/>
        <vertAlign val="baseline"/>
        <sz val="12"/>
        <color theme="2" tint="-0.89999084444715716"/>
        <name val="Arial Rounded MT Bold"/>
        <scheme val="none"/>
      </font>
      <fill>
        <patternFill patternType="solid">
          <fgColor indexed="64"/>
          <bgColor theme="9" tint="0.39997558519241921"/>
        </patternFill>
      </fill>
    </dxf>
    <dxf>
      <fill>
        <patternFill>
          <fgColor indexed="64"/>
          <bgColor theme="4" tint="0.79998168889431442"/>
        </patternFill>
      </fill>
    </dxf>
    <dxf>
      <numFmt numFmtId="0" formatCode="Genera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patternType="solid">
          <fgColor indexed="64"/>
          <bgColor theme="4" tint="0.79998168889431442"/>
        </patternFill>
      </fill>
    </dxf>
    <dxf>
      <fill>
        <patternFill>
          <bgColor theme="5" tint="0.39997558519241921"/>
        </patternFill>
      </fill>
    </dxf>
    <dxf>
      <fill>
        <patternFill>
          <bgColor theme="5" tint="0.39997558519241921"/>
        </patternFill>
      </fill>
    </dxf>
    <dxf>
      <fill>
        <patternFill>
          <bgColor theme="9" tint="0.39997558519241921"/>
        </patternFill>
      </fill>
    </dxf>
    <dxf>
      <fill>
        <patternFill>
          <bgColor theme="9" tint="0.39997558519241921"/>
        </patternFill>
      </fill>
    </dxf>
    <dxf>
      <fill>
        <patternFill>
          <bgColor theme="5" tint="0.39997558519241921"/>
        </patternFill>
      </fill>
    </dxf>
    <dxf>
      <fill>
        <patternFill>
          <bgColor theme="5" tint="0.39997558519241921"/>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patternType="solid">
          <bgColor theme="3" tint="0.79998168889431442"/>
        </patternFill>
      </fill>
    </dxf>
    <dxf>
      <fill>
        <patternFill>
          <bgColor theme="5" tint="0.39997558519241921"/>
        </patternFill>
      </fill>
    </dxf>
    <dxf>
      <fill>
        <patternFill>
          <bgColor theme="5" tint="0.39997558519241921"/>
        </patternFill>
      </fill>
    </dxf>
    <dxf>
      <fill>
        <patternFill>
          <bgColor theme="9" tint="0.39997558519241921"/>
        </patternFill>
      </fill>
    </dxf>
    <dxf>
      <fill>
        <patternFill>
          <bgColor theme="9" tint="0.39997558519241921"/>
        </patternFill>
      </fill>
    </dxf>
    <dxf>
      <fill>
        <patternFill>
          <bgColor theme="5" tint="0.39997558519241921"/>
        </patternFill>
      </fill>
    </dxf>
    <dxf>
      <fill>
        <patternFill>
          <bgColor theme="5" tint="0.39997558519241921"/>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9" tint="0.39997558519241921"/>
        </patternFill>
      </fill>
    </dxf>
    <dxf>
      <fill>
        <patternFill>
          <bgColor theme="9"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fill>
        <patternFill patternType="solid">
          <bgColor theme="4" tint="0.59999389629810485"/>
        </patternFill>
      </fill>
    </dxf>
    <dxf>
      <numFmt numFmtId="2" formatCode="0.00"/>
    </dxf>
    <dxf>
      <numFmt numFmtId="2" formatCode="0.00"/>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9" tint="0.39997558519241921"/>
        </patternFill>
      </fill>
    </dxf>
    <dxf>
      <fill>
        <patternFill>
          <bgColor theme="9" tint="0.39997558519241921"/>
        </patternFill>
      </fill>
    </dxf>
    <dxf>
      <fill>
        <patternFill>
          <bgColor theme="4" tint="0.79998168889431442"/>
        </patternFill>
      </fill>
    </dxf>
    <dxf>
      <fill>
        <patternFill>
          <bgColor theme="4" tint="0.79998168889431442"/>
        </patternFill>
      </fill>
    </dxf>
    <dxf>
      <fill>
        <patternFill patternType="solid">
          <bgColor theme="9" tint="0.59999389629810485"/>
        </patternFill>
      </fill>
    </dxf>
    <dxf>
      <fill>
        <patternFill patternType="solid">
          <bgColor theme="9"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numFmt numFmtId="2" formatCode="0.00"/>
    </dxf>
    <dxf>
      <numFmt numFmtId="2" formatCode="0.00"/>
    </dxf>
    <dxf>
      <numFmt numFmtId="2" formatCode="0.00"/>
    </dxf>
    <dxf>
      <fill>
        <patternFill>
          <bgColor theme="9" tint="0.59999389629810485"/>
        </patternFill>
      </fill>
    </dxf>
    <dxf>
      <fill>
        <patternFill>
          <bgColor theme="9" tint="0.59999389629810485"/>
        </patternFill>
      </fill>
    </dxf>
    <dxf>
      <fill>
        <patternFill>
          <bgColor theme="4" tint="-0.249977111117893"/>
        </patternFill>
      </fill>
    </dxf>
    <dxf>
      <fill>
        <patternFill>
          <bgColor theme="4" tint="-0.249977111117893"/>
        </patternFill>
      </fill>
    </dxf>
    <dxf>
      <fill>
        <patternFill>
          <bgColor theme="4" tint="-0.249977111117893"/>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9" tint="0.59999389629810485"/>
        </patternFill>
      </fill>
    </dxf>
    <dxf>
      <fill>
        <patternFill>
          <bgColor theme="9" tint="0.59999389629810485"/>
        </patternFill>
      </fill>
    </dxf>
    <dxf>
      <fill>
        <patternFill>
          <bgColor theme="5" tint="0.39997558519241921"/>
        </patternFill>
      </fill>
    </dxf>
    <dxf>
      <fill>
        <patternFill>
          <bgColor theme="5" tint="0.39997558519241921"/>
        </patternFill>
      </fill>
    </dxf>
    <dxf>
      <fill>
        <patternFill>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bgColor theme="5" tint="0.39997558519241921"/>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9" tint="0.59999389629810485"/>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val="0"/>
        <strike val="0"/>
        <outline val="0"/>
        <shadow val="0"/>
        <u val="none"/>
        <vertAlign val="baseline"/>
        <sz val="18"/>
        <color theme="1"/>
      </font>
      <fill>
        <patternFill patternType="solid">
          <fgColor indexed="64"/>
          <bgColor theme="0"/>
        </patternFill>
      </fill>
      <border diagonalUp="0" diagonalDown="0" outline="0">
        <left style="thin">
          <color indexed="64"/>
        </left>
        <right/>
        <top style="thin">
          <color indexed="64"/>
        </top>
        <bottom style="thin">
          <color indexed="64"/>
        </bottom>
      </border>
    </dxf>
    <dxf>
      <font>
        <b val="0"/>
        <strike val="0"/>
        <outline val="0"/>
        <shadow val="0"/>
        <u val="none"/>
        <vertAlign val="baseline"/>
        <sz val="18"/>
        <color theme="1"/>
      </font>
      <fill>
        <patternFill patternType="solid">
          <fgColor indexed="64"/>
          <bgColor theme="0"/>
        </patternFill>
      </fill>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8"/>
        <color theme="1"/>
      </font>
      <fill>
        <patternFill patternType="solid">
          <fgColor indexed="64"/>
          <bgColor theme="0"/>
        </patternFill>
      </fill>
    </dxf>
    <dxf>
      <border>
        <bottom style="thin">
          <color indexed="64"/>
        </bottom>
      </border>
    </dxf>
    <dxf>
      <font>
        <strike val="0"/>
        <outline val="0"/>
        <shadow val="0"/>
        <u val="none"/>
        <vertAlign val="baseline"/>
        <sz val="14"/>
        <color theme="1"/>
        <name val="AR CENA"/>
        <scheme val="none"/>
      </font>
      <fill>
        <patternFill patternType="solid">
          <fgColor indexed="64"/>
          <bgColor theme="2" tint="-0.749992370372631"/>
        </patternFill>
      </fill>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5.xml"/><Relationship Id="rId21" Type="http://schemas.openxmlformats.org/officeDocument/2006/relationships/worksheet" Target="worksheets/sheet21.xml"/><Relationship Id="rId42" Type="http://schemas.openxmlformats.org/officeDocument/2006/relationships/theme" Target="theme/theme1.xml"/><Relationship Id="rId47" Type="http://schemas.openxmlformats.org/officeDocument/2006/relationships/calcChain" Target="calcChain.xml"/><Relationship Id="rId63" Type="http://schemas.openxmlformats.org/officeDocument/2006/relationships/customXml" Target="../customXml/item16.xml"/><Relationship Id="rId68" Type="http://schemas.openxmlformats.org/officeDocument/2006/relationships/customXml" Target="../customXml/item21.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8.xml"/><Relationship Id="rId11" Type="http://schemas.openxmlformats.org/officeDocument/2006/relationships/worksheet" Target="worksheets/sheet11.xml"/><Relationship Id="rId24" Type="http://schemas.openxmlformats.org/officeDocument/2006/relationships/pivotCacheDefinition" Target="pivotCache/pivotCacheDefinition3.xml"/><Relationship Id="rId32" Type="http://schemas.openxmlformats.org/officeDocument/2006/relationships/pivotCacheDefinition" Target="pivotCache/pivotCacheDefinition11.xml"/><Relationship Id="rId37" Type="http://schemas.microsoft.com/office/2007/relationships/slicerCache" Target="slicerCaches/slicerCache4.xml"/><Relationship Id="rId40" Type="http://schemas.microsoft.com/office/2007/relationships/slicerCache" Target="slicerCaches/slicerCache7.xml"/><Relationship Id="rId45" Type="http://schemas.openxmlformats.org/officeDocument/2006/relationships/sharedStrings" Target="sharedStrings.xml"/><Relationship Id="rId53" Type="http://schemas.openxmlformats.org/officeDocument/2006/relationships/customXml" Target="../customXml/item6.xml"/><Relationship Id="rId58" Type="http://schemas.openxmlformats.org/officeDocument/2006/relationships/customXml" Target="../customXml/item11.xml"/><Relationship Id="rId66" Type="http://schemas.openxmlformats.org/officeDocument/2006/relationships/customXml" Target="../customXml/item19.xml"/><Relationship Id="rId5" Type="http://schemas.openxmlformats.org/officeDocument/2006/relationships/worksheet" Target="worksheets/sheet5.xml"/><Relationship Id="rId61" Type="http://schemas.openxmlformats.org/officeDocument/2006/relationships/customXml" Target="../customXml/item1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pivotCacheDefinition" Target="pivotCache/pivotCacheDefinition6.xml"/><Relationship Id="rId30" Type="http://schemas.openxmlformats.org/officeDocument/2006/relationships/pivotCacheDefinition" Target="pivotCache/pivotCacheDefinition9.xml"/><Relationship Id="rId35" Type="http://schemas.microsoft.com/office/2007/relationships/slicerCache" Target="slicerCaches/slicerCache2.xml"/><Relationship Id="rId43" Type="http://schemas.openxmlformats.org/officeDocument/2006/relationships/connections" Target="connections.xml"/><Relationship Id="rId48" Type="http://schemas.openxmlformats.org/officeDocument/2006/relationships/customXml" Target="../customXml/item1.xml"/><Relationship Id="rId56" Type="http://schemas.openxmlformats.org/officeDocument/2006/relationships/customXml" Target="../customXml/item9.xml"/><Relationship Id="rId64" Type="http://schemas.openxmlformats.org/officeDocument/2006/relationships/customXml" Target="../customXml/item17.xml"/><Relationship Id="rId69" Type="http://schemas.openxmlformats.org/officeDocument/2006/relationships/customXml" Target="../customXml/item22.xml"/><Relationship Id="rId8" Type="http://schemas.openxmlformats.org/officeDocument/2006/relationships/worksheet" Target="worksheets/sheet8.xml"/><Relationship Id="rId51" Type="http://schemas.openxmlformats.org/officeDocument/2006/relationships/customXml" Target="../customXml/item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4.xml"/><Relationship Id="rId33" Type="http://schemas.openxmlformats.org/officeDocument/2006/relationships/pivotCacheDefinition" Target="pivotCache/pivotCacheDefinition12.xml"/><Relationship Id="rId38" Type="http://schemas.microsoft.com/office/2007/relationships/slicerCache" Target="slicerCaches/slicerCache5.xml"/><Relationship Id="rId46" Type="http://schemas.openxmlformats.org/officeDocument/2006/relationships/powerPivotData" Target="model/item.data"/><Relationship Id="rId59" Type="http://schemas.openxmlformats.org/officeDocument/2006/relationships/customXml" Target="../customXml/item12.xml"/><Relationship Id="rId67" Type="http://schemas.openxmlformats.org/officeDocument/2006/relationships/customXml" Target="../customXml/item20.xml"/><Relationship Id="rId20" Type="http://schemas.openxmlformats.org/officeDocument/2006/relationships/worksheet" Target="worksheets/sheet20.xml"/><Relationship Id="rId41" Type="http://schemas.microsoft.com/office/2007/relationships/slicerCache" Target="slicerCaches/slicerCache8.xml"/><Relationship Id="rId54" Type="http://schemas.openxmlformats.org/officeDocument/2006/relationships/customXml" Target="../customXml/item7.xml"/><Relationship Id="rId62" Type="http://schemas.openxmlformats.org/officeDocument/2006/relationships/customXml" Target="../customXml/item15.xml"/><Relationship Id="rId70" Type="http://schemas.openxmlformats.org/officeDocument/2006/relationships/customXml" Target="../customXml/item2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36" Type="http://schemas.microsoft.com/office/2007/relationships/slicerCache" Target="slicerCaches/slicerCache3.xml"/><Relationship Id="rId49" Type="http://schemas.openxmlformats.org/officeDocument/2006/relationships/customXml" Target="../customXml/item2.xml"/><Relationship Id="rId57" Type="http://schemas.openxmlformats.org/officeDocument/2006/relationships/customXml" Target="../customXml/item10.xml"/><Relationship Id="rId10" Type="http://schemas.openxmlformats.org/officeDocument/2006/relationships/worksheet" Target="worksheets/sheet10.xml"/><Relationship Id="rId31" Type="http://schemas.openxmlformats.org/officeDocument/2006/relationships/pivotCacheDefinition" Target="pivotCache/pivotCacheDefinition10.xml"/><Relationship Id="rId44" Type="http://schemas.openxmlformats.org/officeDocument/2006/relationships/styles" Target="styles.xml"/><Relationship Id="rId52" Type="http://schemas.openxmlformats.org/officeDocument/2006/relationships/customXml" Target="../customXml/item5.xml"/><Relationship Id="rId60" Type="http://schemas.openxmlformats.org/officeDocument/2006/relationships/customXml" Target="../customXml/item13.xml"/><Relationship Id="rId65" Type="http://schemas.openxmlformats.org/officeDocument/2006/relationships/customXml" Target="../customXml/item1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07/relationships/slicerCache" Target="slicerCaches/slicerCache6.xml"/><Relationship Id="rId34" Type="http://schemas.microsoft.com/office/2007/relationships/slicerCache" Target="slicerCaches/slicerCache1.xml"/><Relationship Id="rId50" Type="http://schemas.openxmlformats.org/officeDocument/2006/relationships/customXml" Target="../customXml/item3.xml"/><Relationship Id="rId55" Type="http://schemas.openxmlformats.org/officeDocument/2006/relationships/customXml" Target="../customXml/item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[ETP_Dashboard_Brahmajit.xlsm]2)CHANGE IN SEX RATIO!change_in_sex_ratio</c:name>
    <c:fmtId val="7"/>
  </c:pivotSource>
  <c:chart>
    <c:title>
      <c:tx>
        <c:rich>
          <a:bodyPr rot="0" spcFirstLastPara="1" vertOverflow="ellipsis" vert="horz" wrap="square" anchor="ctr" anchorCtr="1"/>
          <a:lstStyle/>
          <a:p>
            <a:pPr>
              <a:defRPr sz="1600" b="1" i="0" u="none" strike="noStrike" kern="1200" spc="100" baseline="0">
                <a:solidFill>
                  <a:schemeClr val="accent6">
                    <a:lumMod val="75000"/>
                  </a:schemeClr>
                </a:solidFill>
                <a:effectLst>
                  <a:outerShdw blurRad="50800" dist="38100" dir="5400000" algn="t" rotWithShape="0">
                    <a:prstClr val="black">
                      <a:alpha val="40000"/>
                    </a:prstClr>
                  </a:outerShdw>
                </a:effectLst>
                <a:latin typeface="+mn-lt"/>
                <a:ea typeface="+mn-ea"/>
                <a:cs typeface="+mn-cs"/>
              </a:defRPr>
            </a:pPr>
            <a:r>
              <a:rPr lang="en-IN" sz="1800" u="sng" baseline="0">
                <a:solidFill>
                  <a:schemeClr val="accent6">
                    <a:lumMod val="60000"/>
                    <a:lumOff val="40000"/>
                  </a:schemeClr>
                </a:solidFill>
                <a:latin typeface="AR CENA" panose="02000000000000000000" pitchFamily="2" charset="0"/>
              </a:rPr>
              <a:t>Change in sex ratio between 2001-11</a:t>
            </a:r>
          </a:p>
          <a:p>
            <a:pPr>
              <a:defRPr>
                <a:solidFill>
                  <a:schemeClr val="accent6">
                    <a:lumMod val="75000"/>
                  </a:schemeClr>
                </a:solidFill>
              </a:defRPr>
            </a:pPr>
            <a:endParaRPr lang="en-IN" sz="1800" baseline="0">
              <a:solidFill>
                <a:schemeClr val="accent6">
                  <a:lumMod val="75000"/>
                </a:schemeClr>
              </a:solidFill>
            </a:endParaRPr>
          </a:p>
        </c:rich>
      </c:tx>
      <c:layout>
        <c:manualLayout>
          <c:xMode val="edge"/>
          <c:yMode val="edge"/>
          <c:x val="0.17896034874834577"/>
          <c:y val="1.4442583972880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accent6">
                  <a:lumMod val="7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755424755279937"/>
          <c:y val="0.12131440806741263"/>
          <c:w val="0.8054006885502949"/>
          <c:h val="0.77154916919431771"/>
        </c:manualLayout>
      </c:layout>
      <c:barChart>
        <c:barDir val="col"/>
        <c:grouping val="clustered"/>
        <c:varyColors val="0"/>
        <c:ser>
          <c:idx val="0"/>
          <c:order val="0"/>
          <c:tx>
            <c:strRef>
              <c:f>'2)CHANGE IN SEX RATIO'!$B$7</c:f>
              <c:strCache>
                <c:ptCount val="1"/>
                <c:pt idx="0">
                  <c:v>Total - 2001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'2)CHANGE IN SEX RATIO'!$A$8:$A$9</c:f>
              <c:strCache>
                <c:ptCount val="1"/>
                <c:pt idx="0">
                  <c:v>Haryana</c:v>
                </c:pt>
              </c:strCache>
            </c:strRef>
          </c:cat>
          <c:val>
            <c:numRef>
              <c:f>'2)CHANGE IN SEX RATIO'!$B$8:$B$9</c:f>
              <c:numCache>
                <c:formatCode>General</c:formatCode>
                <c:ptCount val="1"/>
                <c:pt idx="0">
                  <c:v>861</c:v>
                </c:pt>
              </c:numCache>
            </c:numRef>
          </c:val>
          <c:extLst>
            <c:ext xmlns:c16="http://schemas.microsoft.com/office/drawing/2014/chart" uri="{C3380CC4-5D6E-409C-BE32-E72D297353CC}">
              <c16:uniqueId val="{00000000-979E-4178-9D86-4102386DB8BD}"/>
            </c:ext>
          </c:extLst>
        </c:ser>
        <c:ser>
          <c:idx val="1"/>
          <c:order val="1"/>
          <c:tx>
            <c:strRef>
              <c:f>'2)CHANGE IN SEX RATIO'!$C$7</c:f>
              <c:strCache>
                <c:ptCount val="1"/>
                <c:pt idx="0">
                  <c:v>Total - 2011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'2)CHANGE IN SEX RATIO'!$A$8:$A$9</c:f>
              <c:strCache>
                <c:ptCount val="1"/>
                <c:pt idx="0">
                  <c:v>Haryana</c:v>
                </c:pt>
              </c:strCache>
            </c:strRef>
          </c:cat>
          <c:val>
            <c:numRef>
              <c:f>'2)CHANGE IN SEX RATIO'!$C$8:$C$9</c:f>
              <c:numCache>
                <c:formatCode>General</c:formatCode>
                <c:ptCount val="1"/>
                <c:pt idx="0">
                  <c:v>879</c:v>
                </c:pt>
              </c:numCache>
            </c:numRef>
          </c:val>
          <c:extLst>
            <c:ext xmlns:c16="http://schemas.microsoft.com/office/drawing/2014/chart" uri="{C3380CC4-5D6E-409C-BE32-E72D297353CC}">
              <c16:uniqueId val="{00000001-979E-4178-9D86-4102386DB8BD}"/>
            </c:ext>
          </c:extLst>
        </c:ser>
        <c:ser>
          <c:idx val="2"/>
          <c:order val="2"/>
          <c:tx>
            <c:strRef>
              <c:f>'2)CHANGE IN SEX RATIO'!$D$7</c:f>
              <c:strCache>
                <c:ptCount val="1"/>
                <c:pt idx="0">
                  <c:v>2011-2001 difference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'2)CHANGE IN SEX RATIO'!$A$8:$A$9</c:f>
              <c:strCache>
                <c:ptCount val="1"/>
                <c:pt idx="0">
                  <c:v>Haryana</c:v>
                </c:pt>
              </c:strCache>
            </c:strRef>
          </c:cat>
          <c:val>
            <c:numRef>
              <c:f>'2)CHANGE IN SEX RATIO'!$D$8:$D$9</c:f>
              <c:numCache>
                <c:formatCode>General</c:formatCode>
                <c:ptCount val="1"/>
                <c:pt idx="0">
                  <c:v>18</c:v>
                </c:pt>
              </c:numCache>
            </c:numRef>
          </c:val>
          <c:extLst>
            <c:ext xmlns:c16="http://schemas.microsoft.com/office/drawing/2014/chart" uri="{C3380CC4-5D6E-409C-BE32-E72D297353CC}">
              <c16:uniqueId val="{00000002-979E-4178-9D86-4102386DB8BD}"/>
            </c:ext>
          </c:extLst>
        </c:ser>
        <c:dLbls>
          <c:showLegendKey val="0"/>
          <c:showVal val="0"/>
          <c:showCatName val="0"/>
          <c:showSerName val="0"/>
          <c:showPercent val="0"/>
          <c:showBubbleSize val="0"/>
        </c:dLbls>
        <c:gapWidth val="59"/>
        <c:axId val="-1113162832"/>
        <c:axId val="-1113166640"/>
      </c:barChart>
      <c:catAx>
        <c:axId val="-1113162832"/>
        <c:scaling>
          <c:orientation val="maxMin"/>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40" b="0" i="0" u="none" strike="noStrike" kern="1200" baseline="0">
                <a:solidFill>
                  <a:schemeClr val="lt1">
                    <a:lumMod val="85000"/>
                  </a:schemeClr>
                </a:solidFill>
                <a:latin typeface="Aharoni" panose="02010803020104030203" pitchFamily="2" charset="-79"/>
                <a:ea typeface="+mn-ea"/>
                <a:cs typeface="+mn-cs"/>
              </a:defRPr>
            </a:pPr>
            <a:endParaRPr lang="en-US"/>
          </a:p>
        </c:txPr>
        <c:crossAx val="-1113166640"/>
        <c:crosses val="autoZero"/>
        <c:auto val="1"/>
        <c:lblAlgn val="ctr"/>
        <c:lblOffset val="100"/>
        <c:noMultiLvlLbl val="0"/>
      </c:catAx>
      <c:valAx>
        <c:axId val="-111316664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3162832"/>
        <c:crosses val="autoZero"/>
        <c:crossBetween val="between"/>
      </c:valAx>
      <c:spPr>
        <a:noFill/>
        <a:ln>
          <a:noFill/>
        </a:ln>
        <a:effectLst/>
      </c:spPr>
    </c:plotArea>
    <c:legend>
      <c:legendPos val="r"/>
      <c:layout>
        <c:manualLayout>
          <c:xMode val="edge"/>
          <c:yMode val="edge"/>
          <c:x val="9.1362555106031147E-3"/>
          <c:y val="0.20414844793201706"/>
          <c:w val="0.14026964333458977"/>
          <c:h val="0.1949428535477190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[ETP_Dashboard_Brahmajit.xlsm]3)ABV AVERAGE !abv_avg_pivot</c:name>
    <c:fmtId val="2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R CENA" panose="02000000000000000000" pitchFamily="2" charset="0"/>
                <a:ea typeface="+mn-ea"/>
                <a:cs typeface="+mn-cs"/>
              </a:defRPr>
            </a:pPr>
            <a:r>
              <a:rPr lang="en-IN" u="sng" baseline="0">
                <a:solidFill>
                  <a:schemeClr val="accent6">
                    <a:lumMod val="60000"/>
                    <a:lumOff val="40000"/>
                  </a:schemeClr>
                </a:solidFill>
                <a:latin typeface="AR CENA" panose="02000000000000000000" pitchFamily="2" charset="0"/>
              </a:rPr>
              <a:t>Top 10 States Above the National Average</a:t>
            </a:r>
          </a:p>
        </c:rich>
      </c:tx>
      <c:layout>
        <c:manualLayout>
          <c:xMode val="edge"/>
          <c:yMode val="edge"/>
          <c:x val="0.22012540314379525"/>
          <c:y val="2.807018319386191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R CENA" panose="02000000000000000000" pitchFamily="2" charset="0"/>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Aharoni" panose="02010803020104030203" pitchFamily="2" charset="-79"/>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Aharoni" panose="02010803020104030203" pitchFamily="2" charset="-79"/>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Aharoni" panose="02010803020104030203" pitchFamily="2" charset="-79"/>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26137357830272"/>
          <c:y val="0.13655724100663888"/>
          <c:w val="0.79176479483274453"/>
          <c:h val="0.42109779419321619"/>
        </c:manualLayout>
      </c:layout>
      <c:barChart>
        <c:barDir val="col"/>
        <c:grouping val="clustered"/>
        <c:varyColors val="0"/>
        <c:ser>
          <c:idx val="0"/>
          <c:order val="0"/>
          <c:tx>
            <c:strRef>
              <c:f>'3)ABV AVERAGE '!$B$11</c:f>
              <c:strCache>
                <c:ptCount val="1"/>
                <c:pt idx="0">
                  <c:v>Total - 2011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'3)ABV AVERAGE '!$A$12:$A$23</c:f>
              <c:strCache>
                <c:ptCount val="11"/>
                <c:pt idx="0">
                  <c:v>Andhra Pradesh</c:v>
                </c:pt>
                <c:pt idx="1">
                  <c:v>Chhattisgarh</c:v>
                </c:pt>
                <c:pt idx="2">
                  <c:v>Goa</c:v>
                </c:pt>
                <c:pt idx="3">
                  <c:v>Karnataka</c:v>
                </c:pt>
                <c:pt idx="4">
                  <c:v>Kerala</c:v>
                </c:pt>
                <c:pt idx="5">
                  <c:v>Manipur</c:v>
                </c:pt>
                <c:pt idx="6">
                  <c:v>Meghalaya</c:v>
                </c:pt>
                <c:pt idx="7">
                  <c:v>Mizoram</c:v>
                </c:pt>
                <c:pt idx="8">
                  <c:v>Odisha</c:v>
                </c:pt>
                <c:pt idx="9">
                  <c:v>Puducherry</c:v>
                </c:pt>
                <c:pt idx="10">
                  <c:v>Tamil Nadu</c:v>
                </c:pt>
              </c:strCache>
            </c:strRef>
          </c:cat>
          <c:val>
            <c:numRef>
              <c:f>'3)ABV AVERAGE '!$B$12:$B$23</c:f>
              <c:numCache>
                <c:formatCode>General</c:formatCode>
                <c:ptCount val="11"/>
                <c:pt idx="0">
                  <c:v>993</c:v>
                </c:pt>
                <c:pt idx="1">
                  <c:v>991</c:v>
                </c:pt>
                <c:pt idx="2">
                  <c:v>973</c:v>
                </c:pt>
                <c:pt idx="3">
                  <c:v>973</c:v>
                </c:pt>
                <c:pt idx="4">
                  <c:v>1084</c:v>
                </c:pt>
                <c:pt idx="5">
                  <c:v>985</c:v>
                </c:pt>
                <c:pt idx="6">
                  <c:v>989</c:v>
                </c:pt>
                <c:pt idx="7">
                  <c:v>976</c:v>
                </c:pt>
                <c:pt idx="8">
                  <c:v>979</c:v>
                </c:pt>
                <c:pt idx="9">
                  <c:v>1037</c:v>
                </c:pt>
                <c:pt idx="10">
                  <c:v>996</c:v>
                </c:pt>
              </c:numCache>
            </c:numRef>
          </c:val>
          <c:extLst>
            <c:ext xmlns:c16="http://schemas.microsoft.com/office/drawing/2014/chart" uri="{C3380CC4-5D6E-409C-BE32-E72D297353CC}">
              <c16:uniqueId val="{00000000-32DF-4078-AE26-E94F07C44F3E}"/>
            </c:ext>
          </c:extLst>
        </c:ser>
        <c:ser>
          <c:idx val="1"/>
          <c:order val="1"/>
          <c:tx>
            <c:strRef>
              <c:f>'3)ABV AVERAGE '!$C$11</c:f>
              <c:strCache>
                <c:ptCount val="1"/>
                <c:pt idx="0">
                  <c:v>Total - 2001</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'3)ABV AVERAGE '!$A$12:$A$23</c:f>
              <c:strCache>
                <c:ptCount val="11"/>
                <c:pt idx="0">
                  <c:v>Andhra Pradesh</c:v>
                </c:pt>
                <c:pt idx="1">
                  <c:v>Chhattisgarh</c:v>
                </c:pt>
                <c:pt idx="2">
                  <c:v>Goa</c:v>
                </c:pt>
                <c:pt idx="3">
                  <c:v>Karnataka</c:v>
                </c:pt>
                <c:pt idx="4">
                  <c:v>Kerala</c:v>
                </c:pt>
                <c:pt idx="5">
                  <c:v>Manipur</c:v>
                </c:pt>
                <c:pt idx="6">
                  <c:v>Meghalaya</c:v>
                </c:pt>
                <c:pt idx="7">
                  <c:v>Mizoram</c:v>
                </c:pt>
                <c:pt idx="8">
                  <c:v>Odisha</c:v>
                </c:pt>
                <c:pt idx="9">
                  <c:v>Puducherry</c:v>
                </c:pt>
                <c:pt idx="10">
                  <c:v>Tamil Nadu</c:v>
                </c:pt>
              </c:strCache>
            </c:strRef>
          </c:cat>
          <c:val>
            <c:numRef>
              <c:f>'3)ABV AVERAGE '!$C$12:$C$23</c:f>
              <c:numCache>
                <c:formatCode>General</c:formatCode>
                <c:ptCount val="11"/>
                <c:pt idx="0">
                  <c:v>978</c:v>
                </c:pt>
                <c:pt idx="1">
                  <c:v>989</c:v>
                </c:pt>
                <c:pt idx="2">
                  <c:v>961</c:v>
                </c:pt>
                <c:pt idx="3">
                  <c:v>965</c:v>
                </c:pt>
                <c:pt idx="4">
                  <c:v>1058</c:v>
                </c:pt>
                <c:pt idx="5">
                  <c:v>978</c:v>
                </c:pt>
                <c:pt idx="6">
                  <c:v>972</c:v>
                </c:pt>
                <c:pt idx="7">
                  <c:v>935</c:v>
                </c:pt>
                <c:pt idx="8">
                  <c:v>972</c:v>
                </c:pt>
                <c:pt idx="9">
                  <c:v>1001</c:v>
                </c:pt>
                <c:pt idx="10">
                  <c:v>987</c:v>
                </c:pt>
              </c:numCache>
            </c:numRef>
          </c:val>
          <c:extLst>
            <c:ext xmlns:c16="http://schemas.microsoft.com/office/drawing/2014/chart" uri="{C3380CC4-5D6E-409C-BE32-E72D297353CC}">
              <c16:uniqueId val="{00000001-32DF-4078-AE26-E94F07C44F3E}"/>
            </c:ext>
          </c:extLst>
        </c:ser>
        <c:dLbls>
          <c:showLegendKey val="0"/>
          <c:showVal val="0"/>
          <c:showCatName val="0"/>
          <c:showSerName val="0"/>
          <c:showPercent val="0"/>
          <c:showBubbleSize val="0"/>
        </c:dLbls>
        <c:gapWidth val="100"/>
        <c:axId val="-1113160112"/>
        <c:axId val="-1113161744"/>
      </c:barChart>
      <c:catAx>
        <c:axId val="-11131601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900" b="0" i="0" u="none" strike="noStrike" kern="1200" baseline="0">
                <a:solidFill>
                  <a:schemeClr val="lt1">
                    <a:lumMod val="85000"/>
                  </a:schemeClr>
                </a:solidFill>
                <a:latin typeface="Aharoni" panose="02010803020104030203" pitchFamily="2" charset="-79"/>
                <a:ea typeface="+mn-ea"/>
                <a:cs typeface="+mn-cs"/>
              </a:defRPr>
            </a:pPr>
            <a:endParaRPr lang="en-US"/>
          </a:p>
        </c:txPr>
        <c:crossAx val="-1113161744"/>
        <c:crosses val="autoZero"/>
        <c:auto val="1"/>
        <c:lblAlgn val="ctr"/>
        <c:lblOffset val="100"/>
        <c:noMultiLvlLbl val="0"/>
      </c:catAx>
      <c:valAx>
        <c:axId val="-11131617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310" b="1" i="0" u="none" strike="noStrike" kern="1200" baseline="0">
                <a:solidFill>
                  <a:schemeClr val="bg1"/>
                </a:solidFill>
                <a:latin typeface="Aharoni" panose="02010803020104030203" pitchFamily="2" charset="-79"/>
                <a:ea typeface="+mn-ea"/>
                <a:cs typeface="+mn-cs"/>
              </a:defRPr>
            </a:pPr>
            <a:endParaRPr lang="en-US"/>
          </a:p>
        </c:txPr>
        <c:crossAx val="-1113160112"/>
        <c:crosses val="autoZero"/>
        <c:crossBetween val="between"/>
      </c:valAx>
      <c:spPr>
        <a:noFill/>
        <a:ln>
          <a:noFill/>
        </a:ln>
        <a:effectLst/>
      </c:spPr>
    </c:plotArea>
    <c:legend>
      <c:legendPos val="r"/>
      <c:layout>
        <c:manualLayout>
          <c:xMode val="edge"/>
          <c:yMode val="edge"/>
          <c:x val="0.81663113098517004"/>
          <c:y val="9.7169142516979182E-2"/>
          <c:w val="9.0048167267857526E-2"/>
          <c:h val="0.105598535797377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Aharoni" panose="02010803020104030203" pitchFamily="2" charset="-79"/>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baseline="0">
          <a:latin typeface="Aharoni" panose="02010803020104030203" pitchFamily="2" charset="-79"/>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[ETP_Dashboard_Brahmajit.xlsm]4)ratio of U.T.!ratio_of_u.t._pivot</c:name>
    <c:fmtId val="5"/>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solidFill>
                  <a:srgbClr val="92D050"/>
                </a:solidFill>
                <a:latin typeface="AR CENA" panose="02000000000000000000" pitchFamily="2" charset="0"/>
              </a:rPr>
              <a:t>Ratio</a:t>
            </a:r>
            <a:r>
              <a:rPr lang="en-IN" u="sng" baseline="0">
                <a:solidFill>
                  <a:srgbClr val="92D050"/>
                </a:solidFill>
                <a:latin typeface="AR CENA" panose="02000000000000000000" pitchFamily="2" charset="0"/>
              </a:rPr>
              <a:t> of rural to urban sex ratio of union territories</a:t>
            </a:r>
          </a:p>
          <a:p>
            <a:pPr algn="ctr">
              <a:defRPr/>
            </a:pPr>
            <a:endParaRPr lang="en-IN"/>
          </a:p>
        </c:rich>
      </c:tx>
      <c:layout>
        <c:manualLayout>
          <c:xMode val="edge"/>
          <c:yMode val="edge"/>
          <c:x val="0.22970857666023117"/>
          <c:y val="2.2763632494664926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effectLst>
                    <a:outerShdw blurRad="50800" dist="50800" dir="5400000" algn="ctr" rotWithShape="0">
                      <a:schemeClr val="accent3">
                        <a:lumMod val="75000"/>
                      </a:schemeClr>
                    </a:outerShdw>
                  </a:effectLst>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solidFill>
              <a:schemeClr val="accent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effectLst>
                    <a:outerShdw blurRad="50800" dist="50800" dir="5400000" algn="ctr" rotWithShape="0">
                      <a:schemeClr val="accent3">
                        <a:lumMod val="75000"/>
                      </a:schemeClr>
                    </a:outerShdw>
                  </a:effectLst>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solidFill>
              <a:schemeClr val="accent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221981627296588"/>
          <c:y val="0.20225053078556263"/>
          <c:w val="0.68652952755905516"/>
          <c:h val="0.55123861109717964"/>
        </c:manualLayout>
      </c:layout>
      <c:lineChart>
        <c:grouping val="standard"/>
        <c:varyColors val="0"/>
        <c:ser>
          <c:idx val="0"/>
          <c:order val="0"/>
          <c:tx>
            <c:strRef>
              <c:f>'4)ratio of U.T.'!$B$15</c:f>
              <c:strCache>
                <c:ptCount val="1"/>
                <c:pt idx="0">
                  <c:v>Ratio 2001</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U.T.'!$B$16:$B$23</c:f>
              <c:numCache>
                <c:formatCode>0.00</c:formatCode>
                <c:ptCount val="7"/>
                <c:pt idx="0">
                  <c:v>1.0564417177914109</c:v>
                </c:pt>
                <c:pt idx="1">
                  <c:v>0.78015075376884424</c:v>
                </c:pt>
                <c:pt idx="2">
                  <c:v>1.2329956584659914</c:v>
                </c:pt>
                <c:pt idx="3">
                  <c:v>0.59552845528455289</c:v>
                </c:pt>
                <c:pt idx="4">
                  <c:v>1.0256684491978609</c:v>
                </c:pt>
                <c:pt idx="5">
                  <c:v>0.98540145985401462</c:v>
                </c:pt>
                <c:pt idx="6">
                  <c:v>0.98311817279046676</c:v>
                </c:pt>
              </c:numCache>
            </c:numRef>
          </c:val>
          <c:smooth val="0"/>
          <c:extLst>
            <c:ext xmlns:c16="http://schemas.microsoft.com/office/drawing/2014/chart" uri="{C3380CC4-5D6E-409C-BE32-E72D297353CC}">
              <c16:uniqueId val="{00000008-FAAD-44B6-9879-4EB516174F52}"/>
            </c:ext>
          </c:extLst>
        </c:ser>
        <c:ser>
          <c:idx val="1"/>
          <c:order val="1"/>
          <c:tx>
            <c:strRef>
              <c:f>'4)ratio of U.T.'!$C$15</c:f>
              <c:strCache>
                <c:ptCount val="1"/>
                <c:pt idx="0">
                  <c:v>Ratio -2011</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U.T.'!$C$16:$C$23</c:f>
              <c:numCache>
                <c:formatCode>0.00</c:formatCode>
                <c:ptCount val="7"/>
                <c:pt idx="0">
                  <c:v>1.0034324942791761</c:v>
                </c:pt>
                <c:pt idx="1">
                  <c:v>0.83941605839416056</c:v>
                </c:pt>
                <c:pt idx="2">
                  <c:v>1.2653958944281525</c:v>
                </c:pt>
                <c:pt idx="3">
                  <c:v>1.5680580762250453</c:v>
                </c:pt>
                <c:pt idx="4">
                  <c:v>1.0074074074074073</c:v>
                </c:pt>
                <c:pt idx="5">
                  <c:v>0.98156682027649766</c:v>
                </c:pt>
                <c:pt idx="6">
                  <c:v>0.98656429942418422</c:v>
                </c:pt>
              </c:numCache>
            </c:numRef>
          </c:val>
          <c:smooth val="0"/>
          <c:extLst>
            <c:ext xmlns:c16="http://schemas.microsoft.com/office/drawing/2014/chart" uri="{C3380CC4-5D6E-409C-BE32-E72D297353CC}">
              <c16:uniqueId val="{00000009-FAAD-44B6-9879-4EB516174F52}"/>
            </c:ext>
          </c:extLst>
        </c:ser>
        <c:ser>
          <c:idx val="2"/>
          <c:order val="2"/>
          <c:tx>
            <c:strRef>
              <c:f>'4)ratio of U.T.'!$D$15</c:f>
              <c:strCache>
                <c:ptCount val="1"/>
                <c:pt idx="0">
                  <c:v>Sum of AVERAGE</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U.T.'!$D$16:$D$23</c:f>
              <c:numCache>
                <c:formatCode>0.00</c:formatCode>
                <c:ptCount val="7"/>
                <c:pt idx="0">
                  <c:v>1.0299371060352935</c:v>
                </c:pt>
                <c:pt idx="1">
                  <c:v>0.80978340608150234</c:v>
                </c:pt>
                <c:pt idx="2">
                  <c:v>1.2491957764470718</c:v>
                </c:pt>
                <c:pt idx="3">
                  <c:v>1.0817932657547991</c:v>
                </c:pt>
                <c:pt idx="4">
                  <c:v>1.0165379283026341</c:v>
                </c:pt>
                <c:pt idx="5">
                  <c:v>0.98348414006525608</c:v>
                </c:pt>
                <c:pt idx="6">
                  <c:v>0.98484123610732555</c:v>
                </c:pt>
              </c:numCache>
            </c:numRef>
          </c:val>
          <c:smooth val="0"/>
          <c:extLst>
            <c:ext xmlns:c16="http://schemas.microsoft.com/office/drawing/2014/chart" uri="{C3380CC4-5D6E-409C-BE32-E72D297353CC}">
              <c16:uniqueId val="{0000000A-FAAD-44B6-9879-4EB516174F52}"/>
            </c:ext>
          </c:extLst>
        </c:ser>
        <c:dLbls>
          <c:showLegendKey val="0"/>
          <c:showVal val="0"/>
          <c:showCatName val="0"/>
          <c:showSerName val="0"/>
          <c:showPercent val="0"/>
          <c:showBubbleSize val="0"/>
        </c:dLbls>
        <c:marker val="1"/>
        <c:smooth val="0"/>
        <c:axId val="-1113159568"/>
        <c:axId val="-1113163920"/>
      </c:lineChart>
      <c:catAx>
        <c:axId val="-1113159568"/>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1" i="0" u="none" strike="noStrike" kern="1200" normalizeH="0" baseline="0">
                <a:solidFill>
                  <a:schemeClr val="accent6">
                    <a:lumMod val="20000"/>
                    <a:lumOff val="80000"/>
                  </a:schemeClr>
                </a:solidFill>
                <a:latin typeface="Aharoni" panose="02010803020104030203" pitchFamily="2" charset="-79"/>
                <a:ea typeface="+mn-ea"/>
                <a:cs typeface="+mn-cs"/>
              </a:defRPr>
            </a:pPr>
            <a:endParaRPr lang="en-US"/>
          </a:p>
        </c:txPr>
        <c:crossAx val="-1113163920"/>
        <c:crosses val="autoZero"/>
        <c:auto val="1"/>
        <c:lblAlgn val="ctr"/>
        <c:lblOffset val="100"/>
        <c:noMultiLvlLbl val="0"/>
      </c:catAx>
      <c:valAx>
        <c:axId val="-1113163920"/>
        <c:scaling>
          <c:orientation val="minMax"/>
        </c:scaling>
        <c:delete val="0"/>
        <c:axPos val="l"/>
        <c:numFmt formatCode="0.00" sourceLinked="1"/>
        <c:majorTickMark val="none"/>
        <c:minorTickMark val="none"/>
        <c:tickLblPos val="nextTo"/>
        <c:spPr>
          <a:solidFill>
            <a:schemeClr val="bg2">
              <a:lumMod val="10000"/>
            </a:schemeClr>
          </a:solidFill>
          <a:ln>
            <a:solidFill>
              <a:schemeClr val="bg2">
                <a:lumMod val="25000"/>
              </a:schemeClr>
            </a:solid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113159568"/>
        <c:crosses val="autoZero"/>
        <c:crossBetween val="between"/>
      </c:valAx>
      <c:spPr>
        <a:noFill/>
        <a:ln>
          <a:noFill/>
        </a:ln>
        <a:effectLst/>
      </c:spPr>
    </c:plotArea>
    <c:legend>
      <c:legendPos val="r"/>
      <c:layout>
        <c:manualLayout>
          <c:xMode val="edge"/>
          <c:yMode val="edge"/>
          <c:x val="0.8248604549431322"/>
          <c:y val="0.15123075240594924"/>
          <c:w val="0.14379759039566245"/>
          <c:h val="0.1766517327993555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[ETP_Dashboard_Brahmajit.xlsm]5)CSR VS SR!csr_s_sr_pivot</c:name>
    <c:fmtId val="4"/>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800" u="sng">
                <a:solidFill>
                  <a:schemeClr val="accent6">
                    <a:lumMod val="40000"/>
                    <a:lumOff val="60000"/>
                  </a:schemeClr>
                </a:solidFill>
                <a:latin typeface="AR CENA" panose="02000000000000000000" pitchFamily="2" charset="0"/>
              </a:rPr>
              <a:t>Child</a:t>
            </a:r>
            <a:r>
              <a:rPr lang="en-IN" sz="1800" u="sng" baseline="0">
                <a:solidFill>
                  <a:schemeClr val="accent6">
                    <a:lumMod val="40000"/>
                    <a:lumOff val="60000"/>
                  </a:schemeClr>
                </a:solidFill>
                <a:latin typeface="AR CENA" panose="02000000000000000000" pitchFamily="2" charset="0"/>
              </a:rPr>
              <a:t> sex ratio vs population sex ratio in states with major population</a:t>
            </a:r>
          </a:p>
          <a:p>
            <a:pPr algn="ctr">
              <a:defRPr/>
            </a:pPr>
            <a:endParaRPr lang="en-IN" sz="1800" u="sng">
              <a:solidFill>
                <a:schemeClr val="accent6">
                  <a:lumMod val="60000"/>
                  <a:lumOff val="40000"/>
                </a:schemeClr>
              </a:solidFill>
            </a:endParaRPr>
          </a:p>
        </c:rich>
      </c:tx>
      <c:layout>
        <c:manualLayout>
          <c:xMode val="edge"/>
          <c:yMode val="edge"/>
          <c:x val="0.20856339405062052"/>
          <c:y val="2.315425718461021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872190707344378"/>
          <c:y val="0.22018081073199183"/>
          <c:w val="0.52509318055673149"/>
          <c:h val="0.54399861475648881"/>
        </c:manualLayout>
      </c:layout>
      <c:barChart>
        <c:barDir val="col"/>
        <c:grouping val="clustered"/>
        <c:varyColors val="0"/>
        <c:ser>
          <c:idx val="2"/>
          <c:order val="2"/>
          <c:tx>
            <c:strRef>
              <c:f>'5)CSR VS SR'!$D$7</c:f>
              <c:strCache>
                <c:ptCount val="1"/>
                <c:pt idx="0">
                  <c:v>Sum of Total - 2001</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'5)CSR VS SR'!$A$8:$A$13</c:f>
              <c:strCache>
                <c:ptCount val="5"/>
                <c:pt idx="0">
                  <c:v>Bihar</c:v>
                </c:pt>
                <c:pt idx="1">
                  <c:v>Madhya Pradesh</c:v>
                </c:pt>
                <c:pt idx="2">
                  <c:v>Maharashtra</c:v>
                </c:pt>
                <c:pt idx="3">
                  <c:v>Uttar Pradesh</c:v>
                </c:pt>
                <c:pt idx="4">
                  <c:v>West Bengal</c:v>
                </c:pt>
              </c:strCache>
            </c:strRef>
          </c:cat>
          <c:val>
            <c:numRef>
              <c:f>'5)CSR VS SR'!$D$8:$D$13</c:f>
              <c:numCache>
                <c:formatCode>General</c:formatCode>
                <c:ptCount val="5"/>
                <c:pt idx="0">
                  <c:v>919</c:v>
                </c:pt>
                <c:pt idx="1">
                  <c:v>919</c:v>
                </c:pt>
                <c:pt idx="2">
                  <c:v>922</c:v>
                </c:pt>
                <c:pt idx="3">
                  <c:v>898</c:v>
                </c:pt>
                <c:pt idx="4">
                  <c:v>934</c:v>
                </c:pt>
              </c:numCache>
            </c:numRef>
          </c:val>
          <c:extLst>
            <c:ext xmlns:c16="http://schemas.microsoft.com/office/drawing/2014/chart" uri="{C3380CC4-5D6E-409C-BE32-E72D297353CC}">
              <c16:uniqueId val="{00000000-84CD-4AE7-AD8E-079482B05C70}"/>
            </c:ext>
          </c:extLst>
        </c:ser>
        <c:ser>
          <c:idx val="3"/>
          <c:order val="3"/>
          <c:tx>
            <c:strRef>
              <c:f>'5)CSR VS SR'!$E$7</c:f>
              <c:strCache>
                <c:ptCount val="1"/>
                <c:pt idx="0">
                  <c:v>Sum of Total - 2011</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'5)CSR VS SR'!$A$8:$A$13</c:f>
              <c:strCache>
                <c:ptCount val="5"/>
                <c:pt idx="0">
                  <c:v>Bihar</c:v>
                </c:pt>
                <c:pt idx="1">
                  <c:v>Madhya Pradesh</c:v>
                </c:pt>
                <c:pt idx="2">
                  <c:v>Maharashtra</c:v>
                </c:pt>
                <c:pt idx="3">
                  <c:v>Uttar Pradesh</c:v>
                </c:pt>
                <c:pt idx="4">
                  <c:v>West Bengal</c:v>
                </c:pt>
              </c:strCache>
            </c:strRef>
          </c:cat>
          <c:val>
            <c:numRef>
              <c:f>'5)CSR VS SR'!$E$8:$E$13</c:f>
              <c:numCache>
                <c:formatCode>General</c:formatCode>
                <c:ptCount val="5"/>
                <c:pt idx="0">
                  <c:v>918</c:v>
                </c:pt>
                <c:pt idx="1">
                  <c:v>931</c:v>
                </c:pt>
                <c:pt idx="2">
                  <c:v>929</c:v>
                </c:pt>
                <c:pt idx="3">
                  <c:v>912</c:v>
                </c:pt>
                <c:pt idx="4">
                  <c:v>950</c:v>
                </c:pt>
              </c:numCache>
            </c:numRef>
          </c:val>
          <c:extLst>
            <c:ext xmlns:c16="http://schemas.microsoft.com/office/drawing/2014/chart" uri="{C3380CC4-5D6E-409C-BE32-E72D297353CC}">
              <c16:uniqueId val="{00000001-84CD-4AE7-AD8E-079482B05C70}"/>
            </c:ext>
          </c:extLst>
        </c:ser>
        <c:dLbls>
          <c:showLegendKey val="0"/>
          <c:showVal val="0"/>
          <c:showCatName val="0"/>
          <c:showSerName val="0"/>
          <c:showPercent val="0"/>
          <c:showBubbleSize val="0"/>
        </c:dLbls>
        <c:gapWidth val="219"/>
        <c:axId val="-1113163376"/>
        <c:axId val="-1113165552"/>
      </c:barChart>
      <c:lineChart>
        <c:grouping val="standard"/>
        <c:varyColors val="0"/>
        <c:ser>
          <c:idx val="0"/>
          <c:order val="0"/>
          <c:tx>
            <c:strRef>
              <c:f>'5)CSR VS SR'!$B$7</c:f>
              <c:strCache>
                <c:ptCount val="1"/>
                <c:pt idx="0">
                  <c:v>Sum of CSR Total - 2001</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'5)CSR VS SR'!$A$8:$A$13</c:f>
              <c:strCache>
                <c:ptCount val="5"/>
                <c:pt idx="0">
                  <c:v>Bihar</c:v>
                </c:pt>
                <c:pt idx="1">
                  <c:v>Madhya Pradesh</c:v>
                </c:pt>
                <c:pt idx="2">
                  <c:v>Maharashtra</c:v>
                </c:pt>
                <c:pt idx="3">
                  <c:v>Uttar Pradesh</c:v>
                </c:pt>
                <c:pt idx="4">
                  <c:v>West Bengal</c:v>
                </c:pt>
              </c:strCache>
            </c:strRef>
          </c:cat>
          <c:val>
            <c:numRef>
              <c:f>'5)CSR VS SR'!$B$8:$B$13</c:f>
              <c:numCache>
                <c:formatCode>General</c:formatCode>
                <c:ptCount val="5"/>
                <c:pt idx="0">
                  <c:v>942</c:v>
                </c:pt>
                <c:pt idx="1">
                  <c:v>932</c:v>
                </c:pt>
                <c:pt idx="2">
                  <c:v>913</c:v>
                </c:pt>
                <c:pt idx="3">
                  <c:v>916</c:v>
                </c:pt>
                <c:pt idx="4">
                  <c:v>960</c:v>
                </c:pt>
              </c:numCache>
            </c:numRef>
          </c:val>
          <c:smooth val="0"/>
          <c:extLst>
            <c:ext xmlns:c16="http://schemas.microsoft.com/office/drawing/2014/chart" uri="{C3380CC4-5D6E-409C-BE32-E72D297353CC}">
              <c16:uniqueId val="{00000002-84CD-4AE7-AD8E-079482B05C70}"/>
            </c:ext>
          </c:extLst>
        </c:ser>
        <c:ser>
          <c:idx val="1"/>
          <c:order val="1"/>
          <c:tx>
            <c:strRef>
              <c:f>'5)CSR VS SR'!$C$7</c:f>
              <c:strCache>
                <c:ptCount val="1"/>
                <c:pt idx="0">
                  <c:v>Sum of CSR Total - 2011</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'5)CSR VS SR'!$A$8:$A$13</c:f>
              <c:strCache>
                <c:ptCount val="5"/>
                <c:pt idx="0">
                  <c:v>Bihar</c:v>
                </c:pt>
                <c:pt idx="1">
                  <c:v>Madhya Pradesh</c:v>
                </c:pt>
                <c:pt idx="2">
                  <c:v>Maharashtra</c:v>
                </c:pt>
                <c:pt idx="3">
                  <c:v>Uttar Pradesh</c:v>
                </c:pt>
                <c:pt idx="4">
                  <c:v>West Bengal</c:v>
                </c:pt>
              </c:strCache>
            </c:strRef>
          </c:cat>
          <c:val>
            <c:numRef>
              <c:f>'5)CSR VS SR'!$C$8:$C$13</c:f>
              <c:numCache>
                <c:formatCode>General</c:formatCode>
                <c:ptCount val="5"/>
                <c:pt idx="0">
                  <c:v>935</c:v>
                </c:pt>
                <c:pt idx="1">
                  <c:v>918</c:v>
                </c:pt>
                <c:pt idx="2">
                  <c:v>894</c:v>
                </c:pt>
                <c:pt idx="3">
                  <c:v>902</c:v>
                </c:pt>
                <c:pt idx="4">
                  <c:v>956</c:v>
                </c:pt>
              </c:numCache>
            </c:numRef>
          </c:val>
          <c:smooth val="0"/>
          <c:extLst>
            <c:ext xmlns:c16="http://schemas.microsoft.com/office/drawing/2014/chart" uri="{C3380CC4-5D6E-409C-BE32-E72D297353CC}">
              <c16:uniqueId val="{00000003-84CD-4AE7-AD8E-079482B05C70}"/>
            </c:ext>
          </c:extLst>
        </c:ser>
        <c:dLbls>
          <c:showLegendKey val="0"/>
          <c:showVal val="0"/>
          <c:showCatName val="0"/>
          <c:showSerName val="0"/>
          <c:showPercent val="0"/>
          <c:showBubbleSize val="0"/>
        </c:dLbls>
        <c:marker val="1"/>
        <c:smooth val="0"/>
        <c:axId val="-1113163376"/>
        <c:axId val="-1113165552"/>
      </c:lineChart>
      <c:catAx>
        <c:axId val="-11131633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10" b="1" i="0" u="none" strike="noStrike" kern="1200" baseline="0">
                <a:solidFill>
                  <a:schemeClr val="lt1">
                    <a:lumMod val="85000"/>
                  </a:schemeClr>
                </a:solidFill>
                <a:latin typeface="Aharoni" panose="02010803020104030203" pitchFamily="2" charset="-79"/>
                <a:ea typeface="+mn-ea"/>
                <a:cs typeface="+mn-cs"/>
              </a:defRPr>
            </a:pPr>
            <a:endParaRPr lang="en-US"/>
          </a:p>
        </c:txPr>
        <c:crossAx val="-1113165552"/>
        <c:crosses val="autoZero"/>
        <c:auto val="1"/>
        <c:lblAlgn val="ctr"/>
        <c:lblOffset val="100"/>
        <c:noMultiLvlLbl val="0"/>
      </c:catAx>
      <c:valAx>
        <c:axId val="-1113165552"/>
        <c:scaling>
          <c:orientation val="minMax"/>
        </c:scaling>
        <c:delete val="0"/>
        <c:axPos val="l"/>
        <c:numFmt formatCode="General" sourceLinked="1"/>
        <c:majorTickMark val="none"/>
        <c:minorTickMark val="none"/>
        <c:tickLblPos val="nextTo"/>
        <c:spPr>
          <a:solidFill>
            <a:schemeClr val="tx2">
              <a:lumMod val="50000"/>
            </a:schemeClr>
          </a:solid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3163376"/>
        <c:crosses val="autoZero"/>
        <c:crossBetween val="between"/>
      </c:valAx>
      <c:spPr>
        <a:noFill/>
        <a:ln>
          <a:noFill/>
        </a:ln>
        <a:effectLst/>
      </c:spPr>
    </c:plotArea>
    <c:legend>
      <c:legendPos val="r"/>
      <c:layout>
        <c:manualLayout>
          <c:xMode val="edge"/>
          <c:yMode val="edge"/>
          <c:x val="0.74658162353361734"/>
          <c:y val="0.45442111402741325"/>
          <c:w val="0.23908145890365856"/>
          <c:h val="0.460650335374744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3">
          <a:lumMod val="60000"/>
          <a:lumOff val="40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[ETP_Dashboard_Brahmajit.xlsm]1)SEX RATIO COMPLETE!complete_graph_pivot</c:name>
    <c:fmtId val="1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sz="2000" u="sng">
                <a:solidFill>
                  <a:schemeClr val="accent6">
                    <a:lumMod val="40000"/>
                    <a:lumOff val="60000"/>
                  </a:schemeClr>
                </a:solidFill>
                <a:latin typeface="AR CENA" panose="02000000000000000000" pitchFamily="2" charset="0"/>
              </a:rPr>
              <a:t>No. of females per 1000 men according to residence in various zones of India</a:t>
            </a:r>
          </a:p>
        </c:rich>
      </c:tx>
      <c:layout>
        <c:manualLayout>
          <c:xMode val="edge"/>
          <c:yMode val="edge"/>
          <c:x val="5.79682475555232E-4"/>
          <c:y val="1.9384955866538491E-3"/>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'1)SEX RATIO COMPLETE'!$B$7</c:f>
              <c:strCache>
                <c:ptCount val="1"/>
                <c:pt idx="0">
                  <c:v>Sum of  Rural - 2011</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multiLvlStrRef>
              <c:f>'1)SEX RATIO COMPLETE'!$A$8:$A$11</c:f>
              <c:multiLvlStrCache>
                <c:ptCount val="2"/>
                <c:lvl>
                  <c:pt idx="0">
                    <c:v>Chhattisgarh</c:v>
                  </c:pt>
                  <c:pt idx="1">
                    <c:v>Madhya Pradesh</c:v>
                  </c:pt>
                </c:lvl>
                <c:lvl>
                  <c:pt idx="0">
                    <c:v>Central</c:v>
                  </c:pt>
                </c:lvl>
              </c:multiLvlStrCache>
            </c:multiLvlStrRef>
          </c:cat>
          <c:val>
            <c:numRef>
              <c:f>'1)SEX RATIO COMPLETE'!$B$8:$B$11</c:f>
              <c:numCache>
                <c:formatCode>General</c:formatCode>
                <c:ptCount val="2"/>
                <c:pt idx="0">
                  <c:v>1001</c:v>
                </c:pt>
                <c:pt idx="1">
                  <c:v>936</c:v>
                </c:pt>
              </c:numCache>
            </c:numRef>
          </c:val>
          <c:extLst>
            <c:ext xmlns:c16="http://schemas.microsoft.com/office/drawing/2014/chart" uri="{C3380CC4-5D6E-409C-BE32-E72D297353CC}">
              <c16:uniqueId val="{00000000-64F7-400E-B074-2262A62301C0}"/>
            </c:ext>
          </c:extLst>
        </c:ser>
        <c:ser>
          <c:idx val="1"/>
          <c:order val="1"/>
          <c:tx>
            <c:strRef>
              <c:f>'1)SEX RATIO COMPLETE'!$C$7</c:f>
              <c:strCache>
                <c:ptCount val="1"/>
                <c:pt idx="0">
                  <c:v>Sum of Urban - 2011</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multiLvlStrRef>
              <c:f>'1)SEX RATIO COMPLETE'!$A$8:$A$11</c:f>
              <c:multiLvlStrCache>
                <c:ptCount val="2"/>
                <c:lvl>
                  <c:pt idx="0">
                    <c:v>Chhattisgarh</c:v>
                  </c:pt>
                  <c:pt idx="1">
                    <c:v>Madhya Pradesh</c:v>
                  </c:pt>
                </c:lvl>
                <c:lvl>
                  <c:pt idx="0">
                    <c:v>Central</c:v>
                  </c:pt>
                </c:lvl>
              </c:multiLvlStrCache>
            </c:multiLvlStrRef>
          </c:cat>
          <c:val>
            <c:numRef>
              <c:f>'1)SEX RATIO COMPLETE'!$C$8:$C$11</c:f>
              <c:numCache>
                <c:formatCode>General</c:formatCode>
                <c:ptCount val="2"/>
                <c:pt idx="0">
                  <c:v>956</c:v>
                </c:pt>
                <c:pt idx="1">
                  <c:v>918</c:v>
                </c:pt>
              </c:numCache>
            </c:numRef>
          </c:val>
          <c:extLst>
            <c:ext xmlns:c16="http://schemas.microsoft.com/office/drawing/2014/chart" uri="{C3380CC4-5D6E-409C-BE32-E72D297353CC}">
              <c16:uniqueId val="{00000001-64F7-400E-B074-2262A62301C0}"/>
            </c:ext>
          </c:extLst>
        </c:ser>
        <c:ser>
          <c:idx val="2"/>
          <c:order val="2"/>
          <c:tx>
            <c:strRef>
              <c:f>'1)SEX RATIO COMPLETE'!$D$7</c:f>
              <c:strCache>
                <c:ptCount val="1"/>
                <c:pt idx="0">
                  <c:v>Sum of  Rural - 2001</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multiLvlStrRef>
              <c:f>'1)SEX RATIO COMPLETE'!$A$8:$A$11</c:f>
              <c:multiLvlStrCache>
                <c:ptCount val="2"/>
                <c:lvl>
                  <c:pt idx="0">
                    <c:v>Chhattisgarh</c:v>
                  </c:pt>
                  <c:pt idx="1">
                    <c:v>Madhya Pradesh</c:v>
                  </c:pt>
                </c:lvl>
                <c:lvl>
                  <c:pt idx="0">
                    <c:v>Central</c:v>
                  </c:pt>
                </c:lvl>
              </c:multiLvlStrCache>
            </c:multiLvlStrRef>
          </c:cat>
          <c:val>
            <c:numRef>
              <c:f>'1)SEX RATIO COMPLETE'!$D$8:$D$11</c:f>
              <c:numCache>
                <c:formatCode>General</c:formatCode>
                <c:ptCount val="2"/>
                <c:pt idx="0">
                  <c:v>1004</c:v>
                </c:pt>
                <c:pt idx="1">
                  <c:v>927</c:v>
                </c:pt>
              </c:numCache>
            </c:numRef>
          </c:val>
          <c:extLst>
            <c:ext xmlns:c16="http://schemas.microsoft.com/office/drawing/2014/chart" uri="{C3380CC4-5D6E-409C-BE32-E72D297353CC}">
              <c16:uniqueId val="{00000000-6FCF-4E92-A227-5D5B5AF41138}"/>
            </c:ext>
          </c:extLst>
        </c:ser>
        <c:ser>
          <c:idx val="3"/>
          <c:order val="3"/>
          <c:tx>
            <c:strRef>
              <c:f>'1)SEX RATIO COMPLETE'!$E$7</c:f>
              <c:strCache>
                <c:ptCount val="1"/>
                <c:pt idx="0">
                  <c:v>Sum of Urban - 2001</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multiLvlStrRef>
              <c:f>'1)SEX RATIO COMPLETE'!$A$8:$A$11</c:f>
              <c:multiLvlStrCache>
                <c:ptCount val="2"/>
                <c:lvl>
                  <c:pt idx="0">
                    <c:v>Chhattisgarh</c:v>
                  </c:pt>
                  <c:pt idx="1">
                    <c:v>Madhya Pradesh</c:v>
                  </c:pt>
                </c:lvl>
                <c:lvl>
                  <c:pt idx="0">
                    <c:v>Central</c:v>
                  </c:pt>
                </c:lvl>
              </c:multiLvlStrCache>
            </c:multiLvlStrRef>
          </c:cat>
          <c:val>
            <c:numRef>
              <c:f>'1)SEX RATIO COMPLETE'!$E$8:$E$11</c:f>
              <c:numCache>
                <c:formatCode>General</c:formatCode>
                <c:ptCount val="2"/>
                <c:pt idx="0">
                  <c:v>932</c:v>
                </c:pt>
                <c:pt idx="1">
                  <c:v>898</c:v>
                </c:pt>
              </c:numCache>
            </c:numRef>
          </c:val>
          <c:extLst>
            <c:ext xmlns:c16="http://schemas.microsoft.com/office/drawing/2014/chart" uri="{C3380CC4-5D6E-409C-BE32-E72D297353CC}">
              <c16:uniqueId val="{00000001-6FCF-4E92-A227-5D5B5AF41138}"/>
            </c:ext>
          </c:extLst>
        </c:ser>
        <c:dLbls>
          <c:showLegendKey val="0"/>
          <c:showVal val="0"/>
          <c:showCatName val="0"/>
          <c:showSerName val="0"/>
          <c:showPercent val="0"/>
          <c:showBubbleSize val="0"/>
        </c:dLbls>
        <c:gapWidth val="315"/>
        <c:overlap val="-40"/>
        <c:axId val="-1113161200"/>
        <c:axId val="-1113160656"/>
      </c:barChart>
      <c:catAx>
        <c:axId val="-11131612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13160656"/>
        <c:crosses val="autoZero"/>
        <c:auto val="1"/>
        <c:lblAlgn val="ctr"/>
        <c:lblOffset val="100"/>
        <c:noMultiLvlLbl val="0"/>
      </c:catAx>
      <c:valAx>
        <c:axId val="-11131606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113161200"/>
        <c:crosses val="autoZero"/>
        <c:crossBetween val="between"/>
      </c:valAx>
      <c:spPr>
        <a:noFill/>
        <a:ln>
          <a:noFill/>
        </a:ln>
        <a:effectLst/>
      </c:spPr>
    </c:plotArea>
    <c:legend>
      <c:legendPos val="t"/>
      <c:layout>
        <c:manualLayout>
          <c:xMode val="edge"/>
          <c:yMode val="edge"/>
          <c:x val="0.57579131128634098"/>
          <c:y val="0.13740309749454513"/>
          <c:w val="0.4229865266743269"/>
          <c:h val="0.1464225332203670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[ETP_Dashboard_Brahmajit.xlsm]6)LR_VS_SR_PIVOT!PivotTable4</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IN" sz="1800" b="1" i="0" u="sng" baseline="0">
                <a:solidFill>
                  <a:schemeClr val="accent6">
                    <a:lumMod val="60000"/>
                    <a:lumOff val="40000"/>
                  </a:schemeClr>
                </a:solidFill>
                <a:effectLst>
                  <a:outerShdw blurRad="50800" dist="38100" dir="5400000" algn="t" rotWithShape="0">
                    <a:srgbClr val="000000">
                      <a:alpha val="40000"/>
                    </a:srgbClr>
                  </a:outerShdw>
                </a:effectLst>
                <a:latin typeface="AR CENA" panose="02000000000000000000" pitchFamily="2" charset="0"/>
              </a:rPr>
              <a:t>Literacy Rate vs Sex Ratio Ranks</a:t>
            </a:r>
            <a:endParaRPr lang="en-IN" u="sng">
              <a:solidFill>
                <a:schemeClr val="accent6">
                  <a:lumMod val="60000"/>
                  <a:lumOff val="40000"/>
                </a:schemeClr>
              </a:solidFill>
              <a:effectLst/>
              <a:latin typeface="AR CENA" panose="02000000000000000000" pitchFamily="2" charset="0"/>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lumMod val="95000"/>
                  </a:sysClr>
                </a:solidFill>
              </a:defRPr>
            </a:pPr>
            <a:endParaRPr lang="en-IN"/>
          </a:p>
        </c:rich>
      </c:tx>
      <c:layout>
        <c:manualLayout>
          <c:xMode val="edge"/>
          <c:yMode val="edge"/>
          <c:x val="0.3131452270123693"/>
          <c:y val="4.0350944857636024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'6)LR_VS_SR_PIVOT'!$B$3</c:f>
              <c:strCache>
                <c:ptCount val="1"/>
                <c:pt idx="0">
                  <c:v>Sum of RANK(L.R.)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'6)LR_VS_SR_PIVOT'!$A$4:$A$39</c:f>
              <c:strCache>
                <c:ptCount val="35"/>
                <c:pt idx="0">
                  <c:v>West Bengal</c:v>
                </c:pt>
                <c:pt idx="1">
                  <c:v>A &amp; N Islands</c:v>
                </c:pt>
                <c:pt idx="2">
                  <c:v>Andhra Pradesh</c:v>
                </c:pt>
                <c:pt idx="3">
                  <c:v>Arunachal Pradesh</c:v>
                </c:pt>
                <c:pt idx="4">
                  <c:v>Assam</c:v>
                </c:pt>
                <c:pt idx="5">
                  <c:v>Bihar</c:v>
                </c:pt>
                <c:pt idx="6">
                  <c:v>Chandigarh</c:v>
                </c:pt>
                <c:pt idx="7">
                  <c:v>Chhattisgarh</c:v>
                </c:pt>
                <c:pt idx="8">
                  <c:v>D &amp; N Haveli</c:v>
                </c:pt>
                <c:pt idx="9">
                  <c:v>Daman &amp; Diu</c:v>
                </c:pt>
                <c:pt idx="10">
                  <c:v>Goa</c:v>
                </c:pt>
                <c:pt idx="11">
                  <c:v>Gujarat</c:v>
                </c:pt>
                <c:pt idx="12">
                  <c:v>Haryana</c:v>
                </c:pt>
                <c:pt idx="13">
                  <c:v>Himachal Pradesh</c:v>
                </c:pt>
                <c:pt idx="14">
                  <c:v>Jammu &amp; Kashmir</c:v>
                </c:pt>
                <c:pt idx="15">
                  <c:v>Jharkhand</c:v>
                </c:pt>
                <c:pt idx="16">
                  <c:v>Karnataka</c:v>
                </c:pt>
                <c:pt idx="17">
                  <c:v>Kerala</c:v>
                </c:pt>
                <c:pt idx="18">
                  <c:v>Lakshadweep</c:v>
                </c:pt>
                <c:pt idx="19">
                  <c:v>Madhya Pradesh</c:v>
                </c:pt>
                <c:pt idx="20">
                  <c:v>Maharashtra</c:v>
                </c:pt>
                <c:pt idx="21">
                  <c:v>Manipur</c:v>
                </c:pt>
                <c:pt idx="22">
                  <c:v>Meghalaya</c:v>
                </c:pt>
                <c:pt idx="23">
                  <c:v>Mizoram</c:v>
                </c:pt>
                <c:pt idx="24">
                  <c:v>Nagaland</c:v>
                </c:pt>
                <c:pt idx="25">
                  <c:v>NCT of Delhi</c:v>
                </c:pt>
                <c:pt idx="26">
                  <c:v>Odisha</c:v>
                </c:pt>
                <c:pt idx="27">
                  <c:v>Puducherry</c:v>
                </c:pt>
                <c:pt idx="28">
                  <c:v>Punjab</c:v>
                </c:pt>
                <c:pt idx="29">
                  <c:v>Rajasthan</c:v>
                </c:pt>
                <c:pt idx="30">
                  <c:v>Sikkim</c:v>
                </c:pt>
                <c:pt idx="31">
                  <c:v>Tamil Nadu</c:v>
                </c:pt>
                <c:pt idx="32">
                  <c:v>Tripura</c:v>
                </c:pt>
                <c:pt idx="33">
                  <c:v>Uttar Pradesh</c:v>
                </c:pt>
                <c:pt idx="34">
                  <c:v>Uttarakhand</c:v>
                </c:pt>
              </c:strCache>
            </c:strRef>
          </c:cat>
          <c:val>
            <c:numRef>
              <c:f>'6)LR_VS_SR_PIVOT'!$B$4:$B$39</c:f>
              <c:numCache>
                <c:formatCode>General</c:formatCode>
                <c:ptCount val="35"/>
                <c:pt idx="0">
                  <c:v>20</c:v>
                </c:pt>
                <c:pt idx="1">
                  <c:v>10</c:v>
                </c:pt>
                <c:pt idx="2">
                  <c:v>32</c:v>
                </c:pt>
                <c:pt idx="3">
                  <c:v>35</c:v>
                </c:pt>
                <c:pt idx="4">
                  <c:v>27</c:v>
                </c:pt>
                <c:pt idx="5">
                  <c:v>36</c:v>
                </c:pt>
                <c:pt idx="6">
                  <c:v>8</c:v>
                </c:pt>
                <c:pt idx="7">
                  <c:v>28</c:v>
                </c:pt>
                <c:pt idx="8">
                  <c:v>19</c:v>
                </c:pt>
                <c:pt idx="9">
                  <c:v>6</c:v>
                </c:pt>
                <c:pt idx="10">
                  <c:v>5</c:v>
                </c:pt>
                <c:pt idx="11">
                  <c:v>18</c:v>
                </c:pt>
                <c:pt idx="12">
                  <c:v>22</c:v>
                </c:pt>
                <c:pt idx="13">
                  <c:v>11</c:v>
                </c:pt>
                <c:pt idx="14">
                  <c:v>31</c:v>
                </c:pt>
                <c:pt idx="15">
                  <c:v>33</c:v>
                </c:pt>
                <c:pt idx="16">
                  <c:v>23</c:v>
                </c:pt>
                <c:pt idx="17">
                  <c:v>1</c:v>
                </c:pt>
                <c:pt idx="18">
                  <c:v>2</c:v>
                </c:pt>
                <c:pt idx="19">
                  <c:v>29</c:v>
                </c:pt>
                <c:pt idx="20">
                  <c:v>12</c:v>
                </c:pt>
                <c:pt idx="21">
                  <c:v>16</c:v>
                </c:pt>
                <c:pt idx="22">
                  <c:v>24</c:v>
                </c:pt>
                <c:pt idx="23">
                  <c:v>3</c:v>
                </c:pt>
                <c:pt idx="24">
                  <c:v>15</c:v>
                </c:pt>
                <c:pt idx="25">
                  <c:v>9</c:v>
                </c:pt>
                <c:pt idx="26">
                  <c:v>26</c:v>
                </c:pt>
                <c:pt idx="27">
                  <c:v>7</c:v>
                </c:pt>
                <c:pt idx="28">
                  <c:v>21</c:v>
                </c:pt>
                <c:pt idx="29">
                  <c:v>34</c:v>
                </c:pt>
                <c:pt idx="30">
                  <c:v>13</c:v>
                </c:pt>
                <c:pt idx="31">
                  <c:v>14</c:v>
                </c:pt>
                <c:pt idx="32">
                  <c:v>4</c:v>
                </c:pt>
                <c:pt idx="33">
                  <c:v>30</c:v>
                </c:pt>
                <c:pt idx="34">
                  <c:v>17</c:v>
                </c:pt>
              </c:numCache>
            </c:numRef>
          </c:val>
          <c:extLst>
            <c:ext xmlns:c16="http://schemas.microsoft.com/office/drawing/2014/chart" uri="{C3380CC4-5D6E-409C-BE32-E72D297353CC}">
              <c16:uniqueId val="{00000000-5581-4A97-A4E9-306C6E5771F0}"/>
            </c:ext>
          </c:extLst>
        </c:ser>
        <c:ser>
          <c:idx val="1"/>
          <c:order val="1"/>
          <c:tx>
            <c:strRef>
              <c:f>'6)LR_VS_SR_PIVOT'!$C$3</c:f>
              <c:strCache>
                <c:ptCount val="1"/>
                <c:pt idx="0">
                  <c:v>Sum of RANK(S.R.)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'6)LR_VS_SR_PIVOT'!$A$4:$A$39</c:f>
              <c:strCache>
                <c:ptCount val="35"/>
                <c:pt idx="0">
                  <c:v>West Bengal</c:v>
                </c:pt>
                <c:pt idx="1">
                  <c:v>A &amp; N Islands</c:v>
                </c:pt>
                <c:pt idx="2">
                  <c:v>Andhra Pradesh</c:v>
                </c:pt>
                <c:pt idx="3">
                  <c:v>Arunachal Pradesh</c:v>
                </c:pt>
                <c:pt idx="4">
                  <c:v>Assam</c:v>
                </c:pt>
                <c:pt idx="5">
                  <c:v>Bihar</c:v>
                </c:pt>
                <c:pt idx="6">
                  <c:v>Chandigarh</c:v>
                </c:pt>
                <c:pt idx="7">
                  <c:v>Chhattisgarh</c:v>
                </c:pt>
                <c:pt idx="8">
                  <c:v>D &amp; N Haveli</c:v>
                </c:pt>
                <c:pt idx="9">
                  <c:v>Daman &amp; Diu</c:v>
                </c:pt>
                <c:pt idx="10">
                  <c:v>Goa</c:v>
                </c:pt>
                <c:pt idx="11">
                  <c:v>Gujarat</c:v>
                </c:pt>
                <c:pt idx="12">
                  <c:v>Haryana</c:v>
                </c:pt>
                <c:pt idx="13">
                  <c:v>Himachal Pradesh</c:v>
                </c:pt>
                <c:pt idx="14">
                  <c:v>Jammu &amp; Kashmir</c:v>
                </c:pt>
                <c:pt idx="15">
                  <c:v>Jharkhand</c:v>
                </c:pt>
                <c:pt idx="16">
                  <c:v>Karnataka</c:v>
                </c:pt>
                <c:pt idx="17">
                  <c:v>Kerala</c:v>
                </c:pt>
                <c:pt idx="18">
                  <c:v>Lakshadweep</c:v>
                </c:pt>
                <c:pt idx="19">
                  <c:v>Madhya Pradesh</c:v>
                </c:pt>
                <c:pt idx="20">
                  <c:v>Maharashtra</c:v>
                </c:pt>
                <c:pt idx="21">
                  <c:v>Manipur</c:v>
                </c:pt>
                <c:pt idx="22">
                  <c:v>Meghalaya</c:v>
                </c:pt>
                <c:pt idx="23">
                  <c:v>Mizoram</c:v>
                </c:pt>
                <c:pt idx="24">
                  <c:v>Nagaland</c:v>
                </c:pt>
                <c:pt idx="25">
                  <c:v>NCT of Delhi</c:v>
                </c:pt>
                <c:pt idx="26">
                  <c:v>Odisha</c:v>
                </c:pt>
                <c:pt idx="27">
                  <c:v>Puducherry</c:v>
                </c:pt>
                <c:pt idx="28">
                  <c:v>Punjab</c:v>
                </c:pt>
                <c:pt idx="29">
                  <c:v>Rajasthan</c:v>
                </c:pt>
                <c:pt idx="30">
                  <c:v>Sikkim</c:v>
                </c:pt>
                <c:pt idx="31">
                  <c:v>Tamil Nadu</c:v>
                </c:pt>
                <c:pt idx="32">
                  <c:v>Tripura</c:v>
                </c:pt>
                <c:pt idx="33">
                  <c:v>Uttar Pradesh</c:v>
                </c:pt>
                <c:pt idx="34">
                  <c:v>Uttarakhand</c:v>
                </c:pt>
              </c:strCache>
            </c:strRef>
          </c:cat>
          <c:val>
            <c:numRef>
              <c:f>'6)LR_VS_SR_PIVOT'!$C$4:$C$39</c:f>
              <c:numCache>
                <c:formatCode>General</c:formatCode>
                <c:ptCount val="35"/>
                <c:pt idx="0">
                  <c:v>15</c:v>
                </c:pt>
                <c:pt idx="1">
                  <c:v>30</c:v>
                </c:pt>
                <c:pt idx="2">
                  <c:v>4</c:v>
                </c:pt>
                <c:pt idx="3">
                  <c:v>19</c:v>
                </c:pt>
                <c:pt idx="4">
                  <c:v>14</c:v>
                </c:pt>
                <c:pt idx="5">
                  <c:v>24</c:v>
                </c:pt>
                <c:pt idx="6">
                  <c:v>32</c:v>
                </c:pt>
                <c:pt idx="7">
                  <c:v>5</c:v>
                </c:pt>
                <c:pt idx="8">
                  <c:v>33</c:v>
                </c:pt>
                <c:pt idx="9">
                  <c:v>34</c:v>
                </c:pt>
                <c:pt idx="10">
                  <c:v>10</c:v>
                </c:pt>
                <c:pt idx="11">
                  <c:v>23</c:v>
                </c:pt>
                <c:pt idx="12">
                  <c:v>29</c:v>
                </c:pt>
                <c:pt idx="13">
                  <c:v>11</c:v>
                </c:pt>
                <c:pt idx="14">
                  <c:v>28</c:v>
                </c:pt>
                <c:pt idx="15">
                  <c:v>16</c:v>
                </c:pt>
                <c:pt idx="16">
                  <c:v>10</c:v>
                </c:pt>
                <c:pt idx="17">
                  <c:v>1</c:v>
                </c:pt>
                <c:pt idx="18">
                  <c:v>17</c:v>
                </c:pt>
                <c:pt idx="19">
                  <c:v>20</c:v>
                </c:pt>
                <c:pt idx="20">
                  <c:v>21</c:v>
                </c:pt>
                <c:pt idx="21">
                  <c:v>7</c:v>
                </c:pt>
                <c:pt idx="22">
                  <c:v>6</c:v>
                </c:pt>
                <c:pt idx="23">
                  <c:v>9</c:v>
                </c:pt>
                <c:pt idx="24">
                  <c:v>20</c:v>
                </c:pt>
                <c:pt idx="25">
                  <c:v>31</c:v>
                </c:pt>
                <c:pt idx="26">
                  <c:v>8</c:v>
                </c:pt>
                <c:pt idx="27">
                  <c:v>2</c:v>
                </c:pt>
                <c:pt idx="28">
                  <c:v>26</c:v>
                </c:pt>
                <c:pt idx="29">
                  <c:v>22</c:v>
                </c:pt>
                <c:pt idx="30">
                  <c:v>27</c:v>
                </c:pt>
                <c:pt idx="31">
                  <c:v>3</c:v>
                </c:pt>
                <c:pt idx="32">
                  <c:v>13</c:v>
                </c:pt>
                <c:pt idx="33">
                  <c:v>25</c:v>
                </c:pt>
                <c:pt idx="34">
                  <c:v>12</c:v>
                </c:pt>
              </c:numCache>
            </c:numRef>
          </c:val>
          <c:extLst>
            <c:ext xmlns:c16="http://schemas.microsoft.com/office/drawing/2014/chart" uri="{C3380CC4-5D6E-409C-BE32-E72D297353CC}">
              <c16:uniqueId val="{00000001-5581-4A97-A4E9-306C6E5771F0}"/>
            </c:ext>
          </c:extLst>
        </c:ser>
        <c:dLbls>
          <c:showLegendKey val="0"/>
          <c:showVal val="0"/>
          <c:showCatName val="0"/>
          <c:showSerName val="0"/>
          <c:showPercent val="0"/>
          <c:showBubbleSize val="0"/>
        </c:dLbls>
        <c:gapWidth val="100"/>
        <c:overlap val="-24"/>
        <c:axId val="-1113162288"/>
        <c:axId val="-1113165008"/>
      </c:barChart>
      <c:catAx>
        <c:axId val="-11131622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3165008"/>
        <c:crosses val="autoZero"/>
        <c:auto val="1"/>
        <c:lblAlgn val="ctr"/>
        <c:lblOffset val="100"/>
        <c:noMultiLvlLbl val="0"/>
      </c:catAx>
      <c:valAx>
        <c:axId val="-11131650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13162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[ETP_Dashboard_Brahmajit.xlsm]7)DGR_VS_SR_PIVOT!PivotTable3</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solidFill>
                  <a:schemeClr val="accent6">
                    <a:lumMod val="60000"/>
                    <a:lumOff val="40000"/>
                  </a:schemeClr>
                </a:solidFill>
                <a:latin typeface="AR CENA" panose="02000000000000000000" pitchFamily="2" charset="0"/>
              </a:rPr>
              <a:t>Decadal</a:t>
            </a:r>
            <a:r>
              <a:rPr lang="en-IN" u="sng" baseline="0">
                <a:solidFill>
                  <a:schemeClr val="accent6">
                    <a:lumMod val="60000"/>
                    <a:lumOff val="40000"/>
                  </a:schemeClr>
                </a:solidFill>
                <a:latin typeface="AR CENA" panose="02000000000000000000" pitchFamily="2" charset="0"/>
              </a:rPr>
              <a:t> Growth Rate vs Sex Ratio Ranks</a:t>
            </a:r>
            <a:endParaRPr lang="en-IN" u="sng">
              <a:solidFill>
                <a:schemeClr val="accent6">
                  <a:lumMod val="60000"/>
                  <a:lumOff val="40000"/>
                </a:schemeClr>
              </a:solidFill>
              <a:latin typeface="AR CENA" panose="02000000000000000000" pitchFamily="2" charset="0"/>
            </a:endParaRPr>
          </a:p>
        </c:rich>
      </c:tx>
      <c:layout>
        <c:manualLayout>
          <c:xMode val="edge"/>
          <c:yMode val="edge"/>
          <c:x val="0.26928671418855904"/>
          <c:y val="1.820909598111272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418882985819004E-2"/>
          <c:y val="4.2334920892866813E-2"/>
          <c:w val="0.83339849041882552"/>
          <c:h val="0.78963231954531632"/>
        </c:manualLayout>
      </c:layout>
      <c:barChart>
        <c:barDir val="col"/>
        <c:grouping val="clustered"/>
        <c:varyColors val="0"/>
        <c:ser>
          <c:idx val="0"/>
          <c:order val="0"/>
          <c:tx>
            <c:strRef>
              <c:f>'7)DGR_VS_SR_PIVOT'!$B$3</c:f>
              <c:strCache>
                <c:ptCount val="1"/>
                <c:pt idx="0">
                  <c:v>RANK DIFF.</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'7)DGR_VS_SR_PIVOT'!$A$4:$A$39</c:f>
              <c:strCache>
                <c:ptCount val="35"/>
                <c:pt idx="0">
                  <c:v>A &amp; N Islands</c:v>
                </c:pt>
                <c:pt idx="1">
                  <c:v>Andhra Pradesh</c:v>
                </c:pt>
                <c:pt idx="2">
                  <c:v>Arunachal Pradesh</c:v>
                </c:pt>
                <c:pt idx="3">
                  <c:v>Assam</c:v>
                </c:pt>
                <c:pt idx="4">
                  <c:v>Bihar</c:v>
                </c:pt>
                <c:pt idx="5">
                  <c:v>Chandigarh</c:v>
                </c:pt>
                <c:pt idx="6">
                  <c:v>Chhattisgarh</c:v>
                </c:pt>
                <c:pt idx="7">
                  <c:v>D &amp; N Haveli</c:v>
                </c:pt>
                <c:pt idx="8">
                  <c:v>Daman &amp; Diu</c:v>
                </c:pt>
                <c:pt idx="9">
                  <c:v>Goa</c:v>
                </c:pt>
                <c:pt idx="10">
                  <c:v>Gujarat</c:v>
                </c:pt>
                <c:pt idx="11">
                  <c:v>Haryana</c:v>
                </c:pt>
                <c:pt idx="12">
                  <c:v>Himachal Pradesh</c:v>
                </c:pt>
                <c:pt idx="13">
                  <c:v>Jammu &amp;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NCT of Delhi</c:v>
                </c:pt>
                <c:pt idx="25">
                  <c:v>Odisha</c:v>
                </c:pt>
                <c:pt idx="26">
                  <c:v>Puducherry</c:v>
                </c:pt>
                <c:pt idx="27">
                  <c:v>Punjab</c:v>
                </c:pt>
                <c:pt idx="28">
                  <c:v>Rajasthan</c:v>
                </c:pt>
                <c:pt idx="29">
                  <c:v>Sikkim</c:v>
                </c:pt>
                <c:pt idx="30">
                  <c:v>Tamil Nadu</c:v>
                </c:pt>
                <c:pt idx="31">
                  <c:v>Tripura</c:v>
                </c:pt>
                <c:pt idx="32">
                  <c:v>Uttar Pradesh</c:v>
                </c:pt>
                <c:pt idx="33">
                  <c:v>Uttarakhand</c:v>
                </c:pt>
                <c:pt idx="34">
                  <c:v>West Bengal</c:v>
                </c:pt>
              </c:strCache>
            </c:strRef>
          </c:cat>
          <c:val>
            <c:numRef>
              <c:f>'7)DGR_VS_SR_PIVOT'!$B$4:$B$39</c:f>
              <c:numCache>
                <c:formatCode>General</c:formatCode>
                <c:ptCount val="35"/>
                <c:pt idx="0">
                  <c:v>7</c:v>
                </c:pt>
                <c:pt idx="1">
                  <c:v>15.5</c:v>
                </c:pt>
                <c:pt idx="2">
                  <c:v>2</c:v>
                </c:pt>
                <c:pt idx="3">
                  <c:v>9</c:v>
                </c:pt>
                <c:pt idx="4">
                  <c:v>31.5</c:v>
                </c:pt>
                <c:pt idx="5">
                  <c:v>4.5</c:v>
                </c:pt>
                <c:pt idx="6">
                  <c:v>28</c:v>
                </c:pt>
                <c:pt idx="7">
                  <c:v>34</c:v>
                </c:pt>
                <c:pt idx="8">
                  <c:v>35</c:v>
                </c:pt>
                <c:pt idx="9">
                  <c:v>19</c:v>
                </c:pt>
                <c:pt idx="10">
                  <c:v>31.5</c:v>
                </c:pt>
                <c:pt idx="11">
                  <c:v>11</c:v>
                </c:pt>
                <c:pt idx="12">
                  <c:v>27</c:v>
                </c:pt>
                <c:pt idx="13">
                  <c:v>33</c:v>
                </c:pt>
                <c:pt idx="14">
                  <c:v>25</c:v>
                </c:pt>
                <c:pt idx="15">
                  <c:v>21</c:v>
                </c:pt>
                <c:pt idx="16">
                  <c:v>8</c:v>
                </c:pt>
                <c:pt idx="17">
                  <c:v>32</c:v>
                </c:pt>
                <c:pt idx="18">
                  <c:v>19</c:v>
                </c:pt>
                <c:pt idx="19">
                  <c:v>25</c:v>
                </c:pt>
                <c:pt idx="20">
                  <c:v>25</c:v>
                </c:pt>
                <c:pt idx="21">
                  <c:v>12</c:v>
                </c:pt>
                <c:pt idx="22">
                  <c:v>4.5</c:v>
                </c:pt>
                <c:pt idx="23">
                  <c:v>6</c:v>
                </c:pt>
                <c:pt idx="24">
                  <c:v>1</c:v>
                </c:pt>
                <c:pt idx="25">
                  <c:v>25</c:v>
                </c:pt>
                <c:pt idx="26">
                  <c:v>5</c:v>
                </c:pt>
                <c:pt idx="27">
                  <c:v>10</c:v>
                </c:pt>
                <c:pt idx="28">
                  <c:v>25</c:v>
                </c:pt>
                <c:pt idx="29">
                  <c:v>15.5</c:v>
                </c:pt>
                <c:pt idx="30">
                  <c:v>20</c:v>
                </c:pt>
                <c:pt idx="31">
                  <c:v>19</c:v>
                </c:pt>
                <c:pt idx="32">
                  <c:v>16</c:v>
                </c:pt>
                <c:pt idx="33">
                  <c:v>29</c:v>
                </c:pt>
                <c:pt idx="34">
                  <c:v>13</c:v>
                </c:pt>
              </c:numCache>
            </c:numRef>
          </c:val>
          <c:extLst>
            <c:ext xmlns:c16="http://schemas.microsoft.com/office/drawing/2014/chart" uri="{C3380CC4-5D6E-409C-BE32-E72D297353CC}">
              <c16:uniqueId val="{00000000-3E11-4906-8049-6615AA86C317}"/>
            </c:ext>
          </c:extLst>
        </c:ser>
        <c:ser>
          <c:idx val="1"/>
          <c:order val="1"/>
          <c:tx>
            <c:strRef>
              <c:f>'7)DGR_VS_SR_PIVOT'!$C$3</c:f>
              <c:strCache>
                <c:ptCount val="1"/>
                <c:pt idx="0">
                  <c:v>RANK DGR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'7)DGR_VS_SR_PIVOT'!$A$4:$A$39</c:f>
              <c:strCache>
                <c:ptCount val="35"/>
                <c:pt idx="0">
                  <c:v>A &amp; N Islands</c:v>
                </c:pt>
                <c:pt idx="1">
                  <c:v>Andhra Pradesh</c:v>
                </c:pt>
                <c:pt idx="2">
                  <c:v>Arunachal Pradesh</c:v>
                </c:pt>
                <c:pt idx="3">
                  <c:v>Assam</c:v>
                </c:pt>
                <c:pt idx="4">
                  <c:v>Bihar</c:v>
                </c:pt>
                <c:pt idx="5">
                  <c:v>Chandigarh</c:v>
                </c:pt>
                <c:pt idx="6">
                  <c:v>Chhattisgarh</c:v>
                </c:pt>
                <c:pt idx="7">
                  <c:v>D &amp; N Haveli</c:v>
                </c:pt>
                <c:pt idx="8">
                  <c:v>Daman &amp; Diu</c:v>
                </c:pt>
                <c:pt idx="9">
                  <c:v>Goa</c:v>
                </c:pt>
                <c:pt idx="10">
                  <c:v>Gujarat</c:v>
                </c:pt>
                <c:pt idx="11">
                  <c:v>Haryana</c:v>
                </c:pt>
                <c:pt idx="12">
                  <c:v>Himachal Pradesh</c:v>
                </c:pt>
                <c:pt idx="13">
                  <c:v>Jammu &amp;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NCT of Delhi</c:v>
                </c:pt>
                <c:pt idx="25">
                  <c:v>Odisha</c:v>
                </c:pt>
                <c:pt idx="26">
                  <c:v>Puducherry</c:v>
                </c:pt>
                <c:pt idx="27">
                  <c:v>Punjab</c:v>
                </c:pt>
                <c:pt idx="28">
                  <c:v>Rajasthan</c:v>
                </c:pt>
                <c:pt idx="29">
                  <c:v>Sikkim</c:v>
                </c:pt>
                <c:pt idx="30">
                  <c:v>Tamil Nadu</c:v>
                </c:pt>
                <c:pt idx="31">
                  <c:v>Tripura</c:v>
                </c:pt>
                <c:pt idx="32">
                  <c:v>Uttar Pradesh</c:v>
                </c:pt>
                <c:pt idx="33">
                  <c:v>Uttarakhand</c:v>
                </c:pt>
                <c:pt idx="34">
                  <c:v>West Bengal</c:v>
                </c:pt>
              </c:strCache>
            </c:strRef>
          </c:cat>
          <c:val>
            <c:numRef>
              <c:f>'7)DGR_VS_SR_PIVOT'!$C$4:$C$39</c:f>
              <c:numCache>
                <c:formatCode>General</c:formatCode>
                <c:ptCount val="35"/>
                <c:pt idx="0">
                  <c:v>32</c:v>
                </c:pt>
                <c:pt idx="1">
                  <c:v>30</c:v>
                </c:pt>
                <c:pt idx="2">
                  <c:v>5</c:v>
                </c:pt>
                <c:pt idx="3">
                  <c:v>20</c:v>
                </c:pt>
                <c:pt idx="4">
                  <c:v>6</c:v>
                </c:pt>
                <c:pt idx="5">
                  <c:v>19</c:v>
                </c:pt>
                <c:pt idx="6">
                  <c:v>10</c:v>
                </c:pt>
                <c:pt idx="7">
                  <c:v>1</c:v>
                </c:pt>
                <c:pt idx="8">
                  <c:v>2</c:v>
                </c:pt>
                <c:pt idx="9">
                  <c:v>31</c:v>
                </c:pt>
                <c:pt idx="10">
                  <c:v>17</c:v>
                </c:pt>
                <c:pt idx="11">
                  <c:v>16</c:v>
                </c:pt>
                <c:pt idx="12">
                  <c:v>29.5</c:v>
                </c:pt>
                <c:pt idx="13">
                  <c:v>8</c:v>
                </c:pt>
                <c:pt idx="14">
                  <c:v>11</c:v>
                </c:pt>
                <c:pt idx="15">
                  <c:v>23.5</c:v>
                </c:pt>
                <c:pt idx="16">
                  <c:v>34</c:v>
                </c:pt>
                <c:pt idx="17">
                  <c:v>33</c:v>
                </c:pt>
                <c:pt idx="18">
                  <c:v>14</c:v>
                </c:pt>
                <c:pt idx="19">
                  <c:v>21</c:v>
                </c:pt>
                <c:pt idx="20">
                  <c:v>7</c:v>
                </c:pt>
                <c:pt idx="21">
                  <c:v>4</c:v>
                </c:pt>
                <c:pt idx="22">
                  <c:v>9</c:v>
                </c:pt>
                <c:pt idx="23">
                  <c:v>35</c:v>
                </c:pt>
                <c:pt idx="24">
                  <c:v>13</c:v>
                </c:pt>
                <c:pt idx="25">
                  <c:v>25</c:v>
                </c:pt>
                <c:pt idx="26">
                  <c:v>3</c:v>
                </c:pt>
                <c:pt idx="27">
                  <c:v>26</c:v>
                </c:pt>
                <c:pt idx="28">
                  <c:v>12</c:v>
                </c:pt>
                <c:pt idx="29">
                  <c:v>29.5</c:v>
                </c:pt>
                <c:pt idx="30">
                  <c:v>23.5</c:v>
                </c:pt>
                <c:pt idx="31">
                  <c:v>24</c:v>
                </c:pt>
                <c:pt idx="32">
                  <c:v>15</c:v>
                </c:pt>
                <c:pt idx="33">
                  <c:v>18</c:v>
                </c:pt>
                <c:pt idx="34">
                  <c:v>27</c:v>
                </c:pt>
              </c:numCache>
            </c:numRef>
          </c:val>
          <c:extLst>
            <c:ext xmlns:c16="http://schemas.microsoft.com/office/drawing/2014/chart" uri="{C3380CC4-5D6E-409C-BE32-E72D297353CC}">
              <c16:uniqueId val="{00000001-3E11-4906-8049-6615AA86C317}"/>
            </c:ext>
          </c:extLst>
        </c:ser>
        <c:dLbls>
          <c:showLegendKey val="0"/>
          <c:showVal val="0"/>
          <c:showCatName val="0"/>
          <c:showSerName val="0"/>
          <c:showPercent val="0"/>
          <c:showBubbleSize val="0"/>
        </c:dLbls>
        <c:gapWidth val="100"/>
        <c:overlap val="-24"/>
        <c:axId val="-1293398752"/>
        <c:axId val="-1062858928"/>
      </c:barChart>
      <c:catAx>
        <c:axId val="-12933987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58928"/>
        <c:crosses val="autoZero"/>
        <c:auto val="1"/>
        <c:lblAlgn val="ctr"/>
        <c:lblOffset val="100"/>
        <c:noMultiLvlLbl val="0"/>
      </c:catAx>
      <c:valAx>
        <c:axId val="-10628589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93398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[ETP_Dashboard_Brahmajit.xlsm]1)SEX RATIO COMPLETE!complete_graph_pivot</c:name>
    <c:fmtId val="0"/>
  </c:pivotSource>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'1)SEX RATIO COMPLETE'!$B$7</c:f>
              <c:strCache>
                <c:ptCount val="1"/>
                <c:pt idx="0">
                  <c:v>Sum of  Rural - 2011</c:v>
                </c:pt>
              </c:strCache>
            </c:strRef>
          </c:tx>
          <c:spPr>
            <a:solidFill>
              <a:schemeClr val="accent1"/>
            </a:solidFill>
            <a:ln w="19050">
              <a:solidFill>
                <a:schemeClr val="lt1"/>
              </a:solidFill>
            </a:ln>
            <a:effectLst/>
          </c:spPr>
          <c:invertIfNegative val="0"/>
          <c:cat>
            <c:multiLvlStrRef>
              <c:f>'1)SEX RATIO COMPLETE'!$A$8:$A$11</c:f>
              <c:multiLvlStrCache>
                <c:ptCount val="2"/>
                <c:lvl>
                  <c:pt idx="0">
                    <c:v>Chhattisgarh</c:v>
                  </c:pt>
                  <c:pt idx="1">
                    <c:v>Madhya Pradesh</c:v>
                  </c:pt>
                </c:lvl>
                <c:lvl>
                  <c:pt idx="0">
                    <c:v>Central</c:v>
                  </c:pt>
                </c:lvl>
              </c:multiLvlStrCache>
            </c:multiLvlStrRef>
          </c:cat>
          <c:val>
            <c:numRef>
              <c:f>'1)SEX RATIO COMPLETE'!$B$8:$B$11</c:f>
              <c:numCache>
                <c:formatCode>General</c:formatCode>
                <c:ptCount val="2"/>
                <c:pt idx="0">
                  <c:v>1001</c:v>
                </c:pt>
                <c:pt idx="1">
                  <c:v>936</c:v>
                </c:pt>
              </c:numCache>
            </c:numRef>
          </c:val>
          <c:extLst>
            <c:ext xmlns:c16="http://schemas.microsoft.com/office/drawing/2014/chart" uri="{C3380CC4-5D6E-409C-BE32-E72D297353CC}">
              <c16:uniqueId val="{00000000-635F-4A2F-9D27-E9AA793BE2F7}"/>
            </c:ext>
          </c:extLst>
        </c:ser>
        <c:ser>
          <c:idx val="1"/>
          <c:order val="1"/>
          <c:tx>
            <c:strRef>
              <c:f>'1)SEX RATIO COMPLETE'!$C$7</c:f>
              <c:strCache>
                <c:ptCount val="1"/>
                <c:pt idx="0">
                  <c:v>Sum of Urban - 2011</c:v>
                </c:pt>
              </c:strCache>
            </c:strRef>
          </c:tx>
          <c:spPr>
            <a:solidFill>
              <a:schemeClr val="accent2"/>
            </a:solidFill>
            <a:ln w="19050">
              <a:solidFill>
                <a:schemeClr val="lt1"/>
              </a:solidFill>
            </a:ln>
            <a:effectLst/>
          </c:spPr>
          <c:invertIfNegative val="0"/>
          <c:cat>
            <c:multiLvlStrRef>
              <c:f>'1)SEX RATIO COMPLETE'!$A$8:$A$11</c:f>
              <c:multiLvlStrCache>
                <c:ptCount val="2"/>
                <c:lvl>
                  <c:pt idx="0">
                    <c:v>Chhattisgarh</c:v>
                  </c:pt>
                  <c:pt idx="1">
                    <c:v>Madhya Pradesh</c:v>
                  </c:pt>
                </c:lvl>
                <c:lvl>
                  <c:pt idx="0">
                    <c:v>Central</c:v>
                  </c:pt>
                </c:lvl>
              </c:multiLvlStrCache>
            </c:multiLvlStrRef>
          </c:cat>
          <c:val>
            <c:numRef>
              <c:f>'1)SEX RATIO COMPLETE'!$C$8:$C$11</c:f>
              <c:numCache>
                <c:formatCode>General</c:formatCode>
                <c:ptCount val="2"/>
                <c:pt idx="0">
                  <c:v>956</c:v>
                </c:pt>
                <c:pt idx="1">
                  <c:v>918</c:v>
                </c:pt>
              </c:numCache>
            </c:numRef>
          </c:val>
          <c:extLst>
            <c:ext xmlns:c16="http://schemas.microsoft.com/office/drawing/2014/chart" uri="{C3380CC4-5D6E-409C-BE32-E72D297353CC}">
              <c16:uniqueId val="{00000001-635F-4A2F-9D27-E9AA793BE2F7}"/>
            </c:ext>
          </c:extLst>
        </c:ser>
        <c:ser>
          <c:idx val="2"/>
          <c:order val="2"/>
          <c:tx>
            <c:strRef>
              <c:f>'1)SEX RATIO COMPLETE'!$D$7</c:f>
              <c:strCache>
                <c:ptCount val="1"/>
                <c:pt idx="0">
                  <c:v>Sum of  Rural - 2001</c:v>
                </c:pt>
              </c:strCache>
            </c:strRef>
          </c:tx>
          <c:spPr>
            <a:solidFill>
              <a:schemeClr val="accent3"/>
            </a:solidFill>
            <a:ln w="19050">
              <a:solidFill>
                <a:schemeClr val="lt1"/>
              </a:solidFill>
            </a:ln>
            <a:effectLst/>
          </c:spPr>
          <c:invertIfNegative val="0"/>
          <c:cat>
            <c:multiLvlStrRef>
              <c:f>'1)SEX RATIO COMPLETE'!$A$8:$A$11</c:f>
              <c:multiLvlStrCache>
                <c:ptCount val="2"/>
                <c:lvl>
                  <c:pt idx="0">
                    <c:v>Chhattisgarh</c:v>
                  </c:pt>
                  <c:pt idx="1">
                    <c:v>Madhya Pradesh</c:v>
                  </c:pt>
                </c:lvl>
                <c:lvl>
                  <c:pt idx="0">
                    <c:v>Central</c:v>
                  </c:pt>
                </c:lvl>
              </c:multiLvlStrCache>
            </c:multiLvlStrRef>
          </c:cat>
          <c:val>
            <c:numRef>
              <c:f>'1)SEX RATIO COMPLETE'!$D$8:$D$11</c:f>
              <c:numCache>
                <c:formatCode>General</c:formatCode>
                <c:ptCount val="2"/>
                <c:pt idx="0">
                  <c:v>1004</c:v>
                </c:pt>
                <c:pt idx="1">
                  <c:v>927</c:v>
                </c:pt>
              </c:numCache>
            </c:numRef>
          </c:val>
          <c:extLst>
            <c:ext xmlns:c16="http://schemas.microsoft.com/office/drawing/2014/chart" uri="{C3380CC4-5D6E-409C-BE32-E72D297353CC}">
              <c16:uniqueId val="{00000000-B329-4B15-BA70-2517B86AC676}"/>
            </c:ext>
          </c:extLst>
        </c:ser>
        <c:ser>
          <c:idx val="3"/>
          <c:order val="3"/>
          <c:tx>
            <c:strRef>
              <c:f>'1)SEX RATIO COMPLETE'!$E$7</c:f>
              <c:strCache>
                <c:ptCount val="1"/>
                <c:pt idx="0">
                  <c:v>Sum of Urban - 2001</c:v>
                </c:pt>
              </c:strCache>
            </c:strRef>
          </c:tx>
          <c:spPr>
            <a:solidFill>
              <a:schemeClr val="accent4"/>
            </a:solidFill>
            <a:ln w="19050">
              <a:solidFill>
                <a:schemeClr val="lt1"/>
              </a:solidFill>
            </a:ln>
            <a:effectLst/>
          </c:spPr>
          <c:invertIfNegative val="0"/>
          <c:cat>
            <c:multiLvlStrRef>
              <c:f>'1)SEX RATIO COMPLETE'!$A$8:$A$11</c:f>
              <c:multiLvlStrCache>
                <c:ptCount val="2"/>
                <c:lvl>
                  <c:pt idx="0">
                    <c:v>Chhattisgarh</c:v>
                  </c:pt>
                  <c:pt idx="1">
                    <c:v>Madhya Pradesh</c:v>
                  </c:pt>
                </c:lvl>
                <c:lvl>
                  <c:pt idx="0">
                    <c:v>Central</c:v>
                  </c:pt>
                </c:lvl>
              </c:multiLvlStrCache>
            </c:multiLvlStrRef>
          </c:cat>
          <c:val>
            <c:numRef>
              <c:f>'1)SEX RATIO COMPLETE'!$E$8:$E$11</c:f>
              <c:numCache>
                <c:formatCode>General</c:formatCode>
                <c:ptCount val="2"/>
                <c:pt idx="0">
                  <c:v>932</c:v>
                </c:pt>
                <c:pt idx="1">
                  <c:v>898</c:v>
                </c:pt>
              </c:numCache>
            </c:numRef>
          </c:val>
          <c:extLst>
            <c:ext xmlns:c16="http://schemas.microsoft.com/office/drawing/2014/chart" uri="{C3380CC4-5D6E-409C-BE32-E72D297353CC}">
              <c16:uniqueId val="{00000001-B329-4B15-BA70-2517B86AC676}"/>
            </c:ext>
          </c:extLst>
        </c:ser>
        <c:dLbls>
          <c:showLegendKey val="0"/>
          <c:showVal val="0"/>
          <c:showCatName val="0"/>
          <c:showSerName val="0"/>
          <c:showPercent val="0"/>
          <c:showBubbleSize val="0"/>
        </c:dLbls>
        <c:gapWidth val="150"/>
        <c:axId val="-1062860560"/>
        <c:axId val="-1062864912"/>
      </c:barChart>
      <c:catAx>
        <c:axId val="-10628605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864912"/>
        <c:crosses val="autoZero"/>
        <c:auto val="1"/>
        <c:lblAlgn val="ctr"/>
        <c:lblOffset val="100"/>
        <c:noMultiLvlLbl val="0"/>
      </c:catAx>
      <c:valAx>
        <c:axId val="-1062864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860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6">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[ETP_Dashboard_Brahmajit.xlsm]2)CHANGE IN SEX RATIO!change_in_sex_ratio</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Change in sex ratio between 2001-11</a:t>
            </a:r>
          </a:p>
          <a:p>
            <a:pPr>
              <a:defRPr/>
            </a:pPr>
            <a:endParaRPr lang="en-IN"/>
          </a:p>
        </c:rich>
      </c:tx>
      <c:layout>
        <c:manualLayout>
          <c:xMode val="edge"/>
          <c:yMode val="edge"/>
          <c:x val="0.18480139982502189"/>
          <c:y val="2.1251700458871269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38078321865655"/>
          <c:y val="0.18124391065902754"/>
          <c:w val="0.44694088496669876"/>
          <c:h val="0.54223345348203322"/>
        </c:manualLayout>
      </c:layout>
      <c:barChart>
        <c:barDir val="col"/>
        <c:grouping val="clustered"/>
        <c:varyColors val="0"/>
        <c:ser>
          <c:idx val="0"/>
          <c:order val="0"/>
          <c:tx>
            <c:strRef>
              <c:f>'2)CHANGE IN SEX RATIO'!$B$7</c:f>
              <c:strCache>
                <c:ptCount val="1"/>
                <c:pt idx="0">
                  <c:v>Total - 2001</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'2)CHANGE IN SEX RATIO'!$A$8:$A$9</c:f>
              <c:strCache>
                <c:ptCount val="1"/>
                <c:pt idx="0">
                  <c:v>Haryana</c:v>
                </c:pt>
              </c:strCache>
            </c:strRef>
          </c:cat>
          <c:val>
            <c:numRef>
              <c:f>'2)CHANGE IN SEX RATIO'!$B$8:$B$9</c:f>
              <c:numCache>
                <c:formatCode>General</c:formatCode>
                <c:ptCount val="1"/>
                <c:pt idx="0">
                  <c:v>861</c:v>
                </c:pt>
              </c:numCache>
            </c:numRef>
          </c:val>
          <c:extLst>
            <c:ext xmlns:c16="http://schemas.microsoft.com/office/drawing/2014/chart" uri="{C3380CC4-5D6E-409C-BE32-E72D297353CC}">
              <c16:uniqueId val="{00000000-0D75-43DD-B49E-29E3BEA8AD7D}"/>
            </c:ext>
          </c:extLst>
        </c:ser>
        <c:ser>
          <c:idx val="1"/>
          <c:order val="1"/>
          <c:tx>
            <c:strRef>
              <c:f>'2)CHANGE IN SEX RATIO'!$C$7</c:f>
              <c:strCache>
                <c:ptCount val="1"/>
                <c:pt idx="0">
                  <c:v>Total - 2011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'2)CHANGE IN SEX RATIO'!$A$8:$A$9</c:f>
              <c:strCache>
                <c:ptCount val="1"/>
                <c:pt idx="0">
                  <c:v>Haryana</c:v>
                </c:pt>
              </c:strCache>
            </c:strRef>
          </c:cat>
          <c:val>
            <c:numRef>
              <c:f>'2)CHANGE IN SEX RATIO'!$C$8:$C$9</c:f>
              <c:numCache>
                <c:formatCode>General</c:formatCode>
                <c:ptCount val="1"/>
                <c:pt idx="0">
                  <c:v>879</c:v>
                </c:pt>
              </c:numCache>
            </c:numRef>
          </c:val>
          <c:extLst>
            <c:ext xmlns:c16="http://schemas.microsoft.com/office/drawing/2014/chart" uri="{C3380CC4-5D6E-409C-BE32-E72D297353CC}">
              <c16:uniqueId val="{00000001-0D75-43DD-B49E-29E3BEA8AD7D}"/>
            </c:ext>
          </c:extLst>
        </c:ser>
        <c:ser>
          <c:idx val="2"/>
          <c:order val="2"/>
          <c:tx>
            <c:strRef>
              <c:f>'2)CHANGE IN SEX RATIO'!$D$7</c:f>
              <c:strCache>
                <c:ptCount val="1"/>
                <c:pt idx="0">
                  <c:v>2011-2001 difference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'2)CHANGE IN SEX RATIO'!$A$8:$A$9</c:f>
              <c:strCache>
                <c:ptCount val="1"/>
                <c:pt idx="0">
                  <c:v>Haryana</c:v>
                </c:pt>
              </c:strCache>
            </c:strRef>
          </c:cat>
          <c:val>
            <c:numRef>
              <c:f>'2)CHANGE IN SEX RATIO'!$D$8:$D$9</c:f>
              <c:numCache>
                <c:formatCode>General</c:formatCode>
                <c:ptCount val="1"/>
                <c:pt idx="0">
                  <c:v>18</c:v>
                </c:pt>
              </c:numCache>
            </c:numRef>
          </c:val>
          <c:extLst>
            <c:ext xmlns:c16="http://schemas.microsoft.com/office/drawing/2014/chart" uri="{C3380CC4-5D6E-409C-BE32-E72D297353CC}">
              <c16:uniqueId val="{00000002-0D75-43DD-B49E-29E3BEA8AD7D}"/>
            </c:ext>
          </c:extLst>
        </c:ser>
        <c:dLbls>
          <c:dLblPos val="outEnd"/>
          <c:showLegendKey val="0"/>
          <c:showVal val="1"/>
          <c:showCatName val="0"/>
          <c:showSerName val="0"/>
          <c:showPercent val="0"/>
          <c:showBubbleSize val="0"/>
        </c:dLbls>
        <c:gapWidth val="100"/>
        <c:overlap val="-24"/>
        <c:axId val="-1062858384"/>
        <c:axId val="-1062855664"/>
      </c:barChart>
      <c:catAx>
        <c:axId val="-1062858384"/>
        <c:scaling>
          <c:orientation val="maxMin"/>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55664"/>
        <c:crosses val="autoZero"/>
        <c:auto val="1"/>
        <c:lblAlgn val="ctr"/>
        <c:lblOffset val="100"/>
        <c:noMultiLvlLbl val="0"/>
      </c:catAx>
      <c:valAx>
        <c:axId val="-106285566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58384"/>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[ETP_Dashboard_Brahmajit.xlsm]3)ABV AVERAGE !abv_avg_pivot</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a:solidFill>
                  <a:srgbClr val="92D050"/>
                </a:solidFill>
                <a:latin typeface="AR CENA" panose="02000000000000000000" pitchFamily="2" charset="0"/>
              </a:rPr>
              <a:t>TOP</a:t>
            </a:r>
            <a:r>
              <a:rPr lang="en-IN" sz="1600" baseline="0">
                <a:solidFill>
                  <a:srgbClr val="92D050"/>
                </a:solidFill>
                <a:latin typeface="AR CENA" panose="02000000000000000000" pitchFamily="2" charset="0"/>
              </a:rPr>
              <a:t> 10 STATES ABOVE THE NATIONAL AVERAGE</a:t>
            </a:r>
          </a:p>
        </c:rich>
      </c:tx>
      <c:layout>
        <c:manualLayout>
          <c:xMode val="edge"/>
          <c:yMode val="edge"/>
          <c:x val="0.14111942797273797"/>
          <c:y val="0.80946796180391978"/>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9.713381506324055E-2"/>
          <c:y val="0.12217810380540038"/>
          <c:w val="0.79176479483274453"/>
          <c:h val="0.42109779419321619"/>
        </c:manualLayout>
      </c:layout>
      <c:barChart>
        <c:barDir val="col"/>
        <c:grouping val="clustered"/>
        <c:varyColors val="0"/>
        <c:ser>
          <c:idx val="0"/>
          <c:order val="0"/>
          <c:tx>
            <c:strRef>
              <c:f>'3)ABV AVERAGE '!$B$11</c:f>
              <c:strCache>
                <c:ptCount val="1"/>
                <c:pt idx="0">
                  <c:v>Total - 2011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'3)ABV AVERAGE '!$A$12:$A$23</c:f>
              <c:strCache>
                <c:ptCount val="11"/>
                <c:pt idx="0">
                  <c:v>Andhra Pradesh</c:v>
                </c:pt>
                <c:pt idx="1">
                  <c:v>Chhattisgarh</c:v>
                </c:pt>
                <c:pt idx="2">
                  <c:v>Goa</c:v>
                </c:pt>
                <c:pt idx="3">
                  <c:v>Karnataka</c:v>
                </c:pt>
                <c:pt idx="4">
                  <c:v>Kerala</c:v>
                </c:pt>
                <c:pt idx="5">
                  <c:v>Manipur</c:v>
                </c:pt>
                <c:pt idx="6">
                  <c:v>Meghalaya</c:v>
                </c:pt>
                <c:pt idx="7">
                  <c:v>Mizoram</c:v>
                </c:pt>
                <c:pt idx="8">
                  <c:v>Odisha</c:v>
                </c:pt>
                <c:pt idx="9">
                  <c:v>Puducherry</c:v>
                </c:pt>
                <c:pt idx="10">
                  <c:v>Tamil Nadu</c:v>
                </c:pt>
              </c:strCache>
            </c:strRef>
          </c:cat>
          <c:val>
            <c:numRef>
              <c:f>'3)ABV AVERAGE '!$B$12:$B$23</c:f>
              <c:numCache>
                <c:formatCode>General</c:formatCode>
                <c:ptCount val="11"/>
                <c:pt idx="0">
                  <c:v>993</c:v>
                </c:pt>
                <c:pt idx="1">
                  <c:v>991</c:v>
                </c:pt>
                <c:pt idx="2">
                  <c:v>973</c:v>
                </c:pt>
                <c:pt idx="3">
                  <c:v>973</c:v>
                </c:pt>
                <c:pt idx="4">
                  <c:v>1084</c:v>
                </c:pt>
                <c:pt idx="5">
                  <c:v>985</c:v>
                </c:pt>
                <c:pt idx="6">
                  <c:v>989</c:v>
                </c:pt>
                <c:pt idx="7">
                  <c:v>976</c:v>
                </c:pt>
                <c:pt idx="8">
                  <c:v>979</c:v>
                </c:pt>
                <c:pt idx="9">
                  <c:v>1037</c:v>
                </c:pt>
                <c:pt idx="10">
                  <c:v>996</c:v>
                </c:pt>
              </c:numCache>
            </c:numRef>
          </c:val>
          <c:extLst>
            <c:ext xmlns:c16="http://schemas.microsoft.com/office/drawing/2014/chart" uri="{C3380CC4-5D6E-409C-BE32-E72D297353CC}">
              <c16:uniqueId val="{00000000-F844-4885-9C08-4DE12834CEBC}"/>
            </c:ext>
          </c:extLst>
        </c:ser>
        <c:ser>
          <c:idx val="1"/>
          <c:order val="1"/>
          <c:tx>
            <c:strRef>
              <c:f>'3)ABV AVERAGE '!$C$11</c:f>
              <c:strCache>
                <c:ptCount val="1"/>
                <c:pt idx="0">
                  <c:v>Total - 2001</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'3)ABV AVERAGE '!$A$12:$A$23</c:f>
              <c:strCache>
                <c:ptCount val="11"/>
                <c:pt idx="0">
                  <c:v>Andhra Pradesh</c:v>
                </c:pt>
                <c:pt idx="1">
                  <c:v>Chhattisgarh</c:v>
                </c:pt>
                <c:pt idx="2">
                  <c:v>Goa</c:v>
                </c:pt>
                <c:pt idx="3">
                  <c:v>Karnataka</c:v>
                </c:pt>
                <c:pt idx="4">
                  <c:v>Kerala</c:v>
                </c:pt>
                <c:pt idx="5">
                  <c:v>Manipur</c:v>
                </c:pt>
                <c:pt idx="6">
                  <c:v>Meghalaya</c:v>
                </c:pt>
                <c:pt idx="7">
                  <c:v>Mizoram</c:v>
                </c:pt>
                <c:pt idx="8">
                  <c:v>Odisha</c:v>
                </c:pt>
                <c:pt idx="9">
                  <c:v>Puducherry</c:v>
                </c:pt>
                <c:pt idx="10">
                  <c:v>Tamil Nadu</c:v>
                </c:pt>
              </c:strCache>
            </c:strRef>
          </c:cat>
          <c:val>
            <c:numRef>
              <c:f>'3)ABV AVERAGE '!$C$12:$C$23</c:f>
              <c:numCache>
                <c:formatCode>General</c:formatCode>
                <c:ptCount val="11"/>
                <c:pt idx="0">
                  <c:v>978</c:v>
                </c:pt>
                <c:pt idx="1">
                  <c:v>989</c:v>
                </c:pt>
                <c:pt idx="2">
                  <c:v>961</c:v>
                </c:pt>
                <c:pt idx="3">
                  <c:v>965</c:v>
                </c:pt>
                <c:pt idx="4">
                  <c:v>1058</c:v>
                </c:pt>
                <c:pt idx="5">
                  <c:v>978</c:v>
                </c:pt>
                <c:pt idx="6">
                  <c:v>972</c:v>
                </c:pt>
                <c:pt idx="7">
                  <c:v>935</c:v>
                </c:pt>
                <c:pt idx="8">
                  <c:v>972</c:v>
                </c:pt>
                <c:pt idx="9">
                  <c:v>1001</c:v>
                </c:pt>
                <c:pt idx="10">
                  <c:v>987</c:v>
                </c:pt>
              </c:numCache>
            </c:numRef>
          </c:val>
          <c:extLst>
            <c:ext xmlns:c16="http://schemas.microsoft.com/office/drawing/2014/chart" uri="{C3380CC4-5D6E-409C-BE32-E72D297353CC}">
              <c16:uniqueId val="{00000001-F844-4885-9C08-4DE12834CEBC}"/>
            </c:ext>
          </c:extLst>
        </c:ser>
        <c:dLbls>
          <c:showLegendKey val="0"/>
          <c:showVal val="0"/>
          <c:showCatName val="0"/>
          <c:showSerName val="0"/>
          <c:showPercent val="0"/>
          <c:showBubbleSize val="0"/>
        </c:dLbls>
        <c:gapWidth val="100"/>
        <c:axId val="-1062868176"/>
        <c:axId val="-1062867632"/>
      </c:barChart>
      <c:catAx>
        <c:axId val="-106286817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5400000" spcFirstLastPara="1" vertOverflow="ellipsis" wrap="square" anchor="b" anchorCtr="0"/>
          <a:lstStyle/>
          <a:p>
            <a:pPr>
              <a:defRPr sz="900" b="0" i="0" u="none" strike="noStrike" kern="1200" baseline="0">
                <a:ln w="6350">
                  <a:solidFill>
                    <a:schemeClr val="accent3">
                      <a:lumMod val="60000"/>
                      <a:lumOff val="40000"/>
                    </a:schemeClr>
                  </a:solidFill>
                  <a:tailEnd type="triangle"/>
                </a:ln>
                <a:solidFill>
                  <a:schemeClr val="lt1">
                    <a:lumMod val="85000"/>
                  </a:schemeClr>
                </a:solidFill>
                <a:effectLst>
                  <a:outerShdw blurRad="50800" dist="38100" dir="2700000" algn="tl" rotWithShape="0">
                    <a:prstClr val="black">
                      <a:alpha val="40000"/>
                    </a:prstClr>
                  </a:outerShdw>
                </a:effectLst>
                <a:latin typeface="+mn-lt"/>
                <a:ea typeface="+mn-ea"/>
                <a:cs typeface="+mn-cs"/>
              </a:defRPr>
            </a:pPr>
            <a:endParaRPr lang="en-US"/>
          </a:p>
        </c:txPr>
        <c:crossAx val="-1062867632"/>
        <c:crosses val="autoZero"/>
        <c:auto val="1"/>
        <c:lblAlgn val="ctr"/>
        <c:lblOffset val="100"/>
        <c:noMultiLvlLbl val="0"/>
      </c:catAx>
      <c:valAx>
        <c:axId val="-10628676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8176"/>
        <c:crosses val="autoZero"/>
        <c:crossBetween val="between"/>
      </c:valAx>
      <c:spPr>
        <a:noFill/>
        <a:ln>
          <a:noFill/>
        </a:ln>
        <a:effectLst/>
      </c:spPr>
    </c:plotArea>
    <c:legend>
      <c:legendPos val="r"/>
      <c:layout>
        <c:manualLayout>
          <c:xMode val="edge"/>
          <c:yMode val="edge"/>
          <c:x val="0.81663113098517004"/>
          <c:y val="9.7169142516979182E-2"/>
          <c:w val="0.15195466921774964"/>
          <c:h val="0.167110433776423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[ETP_Dashboard_Brahmajit.xlsm]4)ratio of U.T.!ratio_of_u.t._pivot</c:name>
    <c:fmtId val="1"/>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solidFill>
                  <a:srgbClr val="92D050"/>
                </a:solidFill>
                <a:latin typeface="AR CENA" panose="02000000000000000000" pitchFamily="2" charset="0"/>
              </a:rPr>
              <a:t>Ratio</a:t>
            </a:r>
            <a:r>
              <a:rPr lang="en-IN" u="sng" baseline="0">
                <a:solidFill>
                  <a:srgbClr val="92D050"/>
                </a:solidFill>
                <a:latin typeface="AR CENA" panose="02000000000000000000" pitchFamily="2" charset="0"/>
              </a:rPr>
              <a:t> of rural to urban sex ratio of union territories</a:t>
            </a:r>
          </a:p>
          <a:p>
            <a:pPr algn="ctr">
              <a:defRPr/>
            </a:pPr>
            <a:endParaRPr lang="en-IN"/>
          </a:p>
        </c:rich>
      </c:tx>
      <c:layout>
        <c:manualLayout>
          <c:xMode val="edge"/>
          <c:yMode val="edge"/>
          <c:x val="0.13478455818022747"/>
          <c:y val="1.6985138004246284E-2"/>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effectLst>
                    <a:outerShdw blurRad="50800" dist="50800" dir="5400000" algn="ctr" rotWithShape="0">
                      <a:schemeClr val="accent3">
                        <a:lumMod val="75000"/>
                      </a:schemeClr>
                    </a:outerShdw>
                  </a:effectLst>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solidFill>
              <a:schemeClr val="accent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88648293963254"/>
          <c:y val="0.21498938428874731"/>
          <c:w val="0.68652952755905516"/>
          <c:h val="0.55123861109717964"/>
        </c:manualLayout>
      </c:layout>
      <c:lineChart>
        <c:grouping val="standard"/>
        <c:varyColors val="0"/>
        <c:ser>
          <c:idx val="0"/>
          <c:order val="0"/>
          <c:tx>
            <c:strRef>
              <c:f>'4)ratio of U.T.'!$B$15</c:f>
              <c:strCache>
                <c:ptCount val="1"/>
                <c:pt idx="0">
                  <c:v>Ratio 2001</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effectLst>
                      <a:outerShdw blurRad="50800" dist="50800" dir="5400000" algn="ctr" rotWithShape="0">
                        <a:schemeClr val="accent3">
                          <a:lumMod val="75000"/>
                        </a:schemeClr>
                      </a:outerShdw>
                    </a:effectLst>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U.T.'!$B$16:$B$23</c:f>
              <c:numCache>
                <c:formatCode>0.00</c:formatCode>
                <c:ptCount val="7"/>
                <c:pt idx="0">
                  <c:v>1.0564417177914109</c:v>
                </c:pt>
                <c:pt idx="1">
                  <c:v>0.78015075376884424</c:v>
                </c:pt>
                <c:pt idx="2">
                  <c:v>1.2329956584659914</c:v>
                </c:pt>
                <c:pt idx="3">
                  <c:v>0.59552845528455289</c:v>
                </c:pt>
                <c:pt idx="4">
                  <c:v>1.0256684491978609</c:v>
                </c:pt>
                <c:pt idx="5">
                  <c:v>0.98540145985401462</c:v>
                </c:pt>
                <c:pt idx="6">
                  <c:v>0.98311817279046676</c:v>
                </c:pt>
              </c:numCache>
            </c:numRef>
          </c:val>
          <c:smooth val="0"/>
          <c:extLst>
            <c:ext xmlns:c16="http://schemas.microsoft.com/office/drawing/2014/chart" uri="{C3380CC4-5D6E-409C-BE32-E72D297353CC}">
              <c16:uniqueId val="{00000000-FB65-4B8E-940B-A47AF5375814}"/>
            </c:ext>
          </c:extLst>
        </c:ser>
        <c:ser>
          <c:idx val="1"/>
          <c:order val="1"/>
          <c:tx>
            <c:strRef>
              <c:f>'4)ratio of U.T.'!$C$15</c:f>
              <c:strCache>
                <c:ptCount val="1"/>
                <c:pt idx="0">
                  <c:v>Ratio -2011</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spPr>
              <a:solidFill>
                <a:schemeClr val="accent2">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U.T.'!$C$16:$C$23</c:f>
              <c:numCache>
                <c:formatCode>0.00</c:formatCode>
                <c:ptCount val="7"/>
                <c:pt idx="0">
                  <c:v>1.0034324942791761</c:v>
                </c:pt>
                <c:pt idx="1">
                  <c:v>0.83941605839416056</c:v>
                </c:pt>
                <c:pt idx="2">
                  <c:v>1.2653958944281525</c:v>
                </c:pt>
                <c:pt idx="3">
                  <c:v>1.5680580762250453</c:v>
                </c:pt>
                <c:pt idx="4">
                  <c:v>1.0074074074074073</c:v>
                </c:pt>
                <c:pt idx="5">
                  <c:v>0.98156682027649766</c:v>
                </c:pt>
                <c:pt idx="6">
                  <c:v>0.98656429942418422</c:v>
                </c:pt>
              </c:numCache>
            </c:numRef>
          </c:val>
          <c:smooth val="0"/>
          <c:extLst>
            <c:ext xmlns:c16="http://schemas.microsoft.com/office/drawing/2014/chart" uri="{C3380CC4-5D6E-409C-BE32-E72D297353CC}">
              <c16:uniqueId val="{00000001-FB65-4B8E-940B-A47AF5375814}"/>
            </c:ext>
          </c:extLst>
        </c:ser>
        <c:ser>
          <c:idx val="2"/>
          <c:order val="2"/>
          <c:tx>
            <c:strRef>
              <c:f>'4)ratio of U.T.'!$D$15</c:f>
              <c:strCache>
                <c:ptCount val="1"/>
                <c:pt idx="0">
                  <c:v>Sum of AVERAGE</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'4)ratio of U.T.'!$A$16:$A$23</c:f>
              <c:strCache>
                <c:ptCount val="7"/>
                <c:pt idx="0">
                  <c:v>A &amp; N Islands</c:v>
                </c:pt>
                <c:pt idx="1">
                  <c:v>Chandigarh</c:v>
                </c:pt>
                <c:pt idx="2">
                  <c:v>D &amp; N Haveli</c:v>
                </c:pt>
                <c:pt idx="3">
                  <c:v>Daman &amp; Diu</c:v>
                </c:pt>
                <c:pt idx="4">
                  <c:v>Lakshadweep</c:v>
                </c:pt>
                <c:pt idx="5">
                  <c:v>NCT of Delhi</c:v>
                </c:pt>
                <c:pt idx="6">
                  <c:v>Puducherry</c:v>
                </c:pt>
              </c:strCache>
            </c:strRef>
          </c:cat>
          <c:val>
            <c:numRef>
              <c:f>'4)ratio of U.T.'!$D$16:$D$23</c:f>
              <c:numCache>
                <c:formatCode>0.00</c:formatCode>
                <c:ptCount val="7"/>
                <c:pt idx="0">
                  <c:v>1.0299371060352935</c:v>
                </c:pt>
                <c:pt idx="1">
                  <c:v>0.80978340608150234</c:v>
                </c:pt>
                <c:pt idx="2">
                  <c:v>1.2491957764470718</c:v>
                </c:pt>
                <c:pt idx="3">
                  <c:v>1.0817932657547991</c:v>
                </c:pt>
                <c:pt idx="4">
                  <c:v>1.0165379283026341</c:v>
                </c:pt>
                <c:pt idx="5">
                  <c:v>0.98348414006525608</c:v>
                </c:pt>
                <c:pt idx="6">
                  <c:v>0.98484123610732555</c:v>
                </c:pt>
              </c:numCache>
            </c:numRef>
          </c:val>
          <c:smooth val="0"/>
          <c:extLst>
            <c:ext xmlns:c16="http://schemas.microsoft.com/office/drawing/2014/chart" uri="{C3380CC4-5D6E-409C-BE32-E72D297353CC}">
              <c16:uniqueId val="{00000002-FB65-4B8E-940B-A47AF5375814}"/>
            </c:ext>
          </c:extLst>
        </c:ser>
        <c:dLbls>
          <c:dLblPos val="ctr"/>
          <c:showLegendKey val="0"/>
          <c:showVal val="1"/>
          <c:showCatName val="0"/>
          <c:showSerName val="0"/>
          <c:showPercent val="0"/>
          <c:showBubbleSize val="0"/>
        </c:dLbls>
        <c:marker val="1"/>
        <c:smooth val="0"/>
        <c:axId val="-1062863280"/>
        <c:axId val="-1062857296"/>
      </c:lineChart>
      <c:catAx>
        <c:axId val="-1062863280"/>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1" i="0" u="none" strike="noStrike" kern="1200" normalizeH="0" baseline="0">
                <a:solidFill>
                  <a:schemeClr val="accent6">
                    <a:lumMod val="20000"/>
                    <a:lumOff val="80000"/>
                  </a:schemeClr>
                </a:solidFill>
                <a:latin typeface="Aharoni" panose="02010803020104030203" pitchFamily="2" charset="-79"/>
                <a:ea typeface="+mn-ea"/>
                <a:cs typeface="+mn-cs"/>
              </a:defRPr>
            </a:pPr>
            <a:endParaRPr lang="en-US"/>
          </a:p>
        </c:txPr>
        <c:crossAx val="-1062857296"/>
        <c:crosses val="autoZero"/>
        <c:auto val="1"/>
        <c:lblAlgn val="ctr"/>
        <c:lblOffset val="100"/>
        <c:noMultiLvlLbl val="0"/>
      </c:catAx>
      <c:valAx>
        <c:axId val="-10628572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solidFill>
            <a:schemeClr val="bg2">
              <a:lumMod val="10000"/>
            </a:schemeClr>
          </a:solid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3280"/>
        <c:crosses val="autoZero"/>
        <c:crossBetween val="between"/>
      </c:valAx>
      <c:spPr>
        <a:noFill/>
        <a:ln>
          <a:noFill/>
        </a:ln>
        <a:effectLst/>
      </c:spPr>
    </c:plotArea>
    <c:legend>
      <c:legendPos val="r"/>
      <c:layout>
        <c:manualLayout>
          <c:xMode val="edge"/>
          <c:yMode val="edge"/>
          <c:x val="0.82486046569548477"/>
          <c:y val="0.12191897712612776"/>
          <c:w val="0.17513954505686788"/>
          <c:h val="0.214969657455238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[ETP_Dashboard_Brahmajit.xlsm]5)CSR VS SR!csr_s_sr_pivot</c:name>
    <c:fmtId val="0"/>
  </c:pivotSource>
  <c:chart>
    <c:title>
      <c:tx>
        <c:rich>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u="sng">
                <a:solidFill>
                  <a:srgbClr val="FFFF00"/>
                </a:solidFill>
                <a:latin typeface="AR CENA" panose="02000000000000000000" pitchFamily="2" charset="0"/>
              </a:rPr>
              <a:t>Child</a:t>
            </a:r>
            <a:r>
              <a:rPr lang="en-IN" u="sng" baseline="0">
                <a:solidFill>
                  <a:srgbClr val="FFFF00"/>
                </a:solidFill>
                <a:latin typeface="AR CENA" panose="02000000000000000000" pitchFamily="2" charset="0"/>
              </a:rPr>
              <a:t> sex ratio vs population sex ratio in states with major population</a:t>
            </a:r>
          </a:p>
          <a:p>
            <a:pPr algn="ctr">
              <a:defRPr/>
            </a:pPr>
            <a:endParaRPr lang="en-IN" u="sng"/>
          </a:p>
        </c:rich>
      </c:tx>
      <c:layout>
        <c:manualLayout>
          <c:xMode val="edge"/>
          <c:yMode val="edge"/>
          <c:x val="0.14564076460139455"/>
          <c:y val="6.1898512685914272E-4"/>
        </c:manualLayout>
      </c:layout>
      <c:overlay val="0"/>
      <c:spPr>
        <a:noFill/>
        <a:ln>
          <a:noFill/>
        </a:ln>
        <a:effectLst/>
      </c:spPr>
      <c:txPr>
        <a:bodyPr rot="0" spcFirstLastPara="1" vertOverflow="ellipsis" vert="horz" wrap="square" anchor="ctr" anchorCtr="1"/>
        <a:lstStyle/>
        <a:p>
          <a:pPr algn="ct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5"/>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6"/>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7"/>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manualLayout>
          <c:layoutTarget val="inner"/>
          <c:xMode val="edge"/>
          <c:yMode val="edge"/>
          <c:x val="0.19872190707344378"/>
          <c:y val="0.22018081073199183"/>
          <c:w val="0.52509318055673149"/>
          <c:h val="0.54399861475648881"/>
        </c:manualLayout>
      </c:layout>
      <c:barChart>
        <c:barDir val="col"/>
        <c:grouping val="clustered"/>
        <c:varyColors val="0"/>
        <c:ser>
          <c:idx val="2"/>
          <c:order val="2"/>
          <c:tx>
            <c:strRef>
              <c:f>'5)CSR VS SR'!$D$7</c:f>
              <c:strCache>
                <c:ptCount val="1"/>
                <c:pt idx="0">
                  <c:v>Sum of Total - 2001</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'5)CSR VS SR'!$A$8:$A$13</c:f>
              <c:strCache>
                <c:ptCount val="5"/>
                <c:pt idx="0">
                  <c:v>Bihar</c:v>
                </c:pt>
                <c:pt idx="1">
                  <c:v>Madhya Pradesh</c:v>
                </c:pt>
                <c:pt idx="2">
                  <c:v>Maharashtra</c:v>
                </c:pt>
                <c:pt idx="3">
                  <c:v>Uttar Pradesh</c:v>
                </c:pt>
                <c:pt idx="4">
                  <c:v>West Bengal</c:v>
                </c:pt>
              </c:strCache>
            </c:strRef>
          </c:cat>
          <c:val>
            <c:numRef>
              <c:f>'5)CSR VS SR'!$D$8:$D$13</c:f>
              <c:numCache>
                <c:formatCode>General</c:formatCode>
                <c:ptCount val="5"/>
                <c:pt idx="0">
                  <c:v>919</c:v>
                </c:pt>
                <c:pt idx="1">
                  <c:v>919</c:v>
                </c:pt>
                <c:pt idx="2">
                  <c:v>922</c:v>
                </c:pt>
                <c:pt idx="3">
                  <c:v>898</c:v>
                </c:pt>
                <c:pt idx="4">
                  <c:v>934</c:v>
                </c:pt>
              </c:numCache>
            </c:numRef>
          </c:val>
          <c:extLst>
            <c:ext xmlns:c16="http://schemas.microsoft.com/office/drawing/2014/chart" uri="{C3380CC4-5D6E-409C-BE32-E72D297353CC}">
              <c16:uniqueId val="{00000000-7188-41BC-AC7B-8F13DB0B11EA}"/>
            </c:ext>
          </c:extLst>
        </c:ser>
        <c:ser>
          <c:idx val="3"/>
          <c:order val="3"/>
          <c:tx>
            <c:strRef>
              <c:f>'5)CSR VS SR'!$E$7</c:f>
              <c:strCache>
                <c:ptCount val="1"/>
                <c:pt idx="0">
                  <c:v>Sum of Total - 2011</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'5)CSR VS SR'!$A$8:$A$13</c:f>
              <c:strCache>
                <c:ptCount val="5"/>
                <c:pt idx="0">
                  <c:v>Bihar</c:v>
                </c:pt>
                <c:pt idx="1">
                  <c:v>Madhya Pradesh</c:v>
                </c:pt>
                <c:pt idx="2">
                  <c:v>Maharashtra</c:v>
                </c:pt>
                <c:pt idx="3">
                  <c:v>Uttar Pradesh</c:v>
                </c:pt>
                <c:pt idx="4">
                  <c:v>West Bengal</c:v>
                </c:pt>
              </c:strCache>
            </c:strRef>
          </c:cat>
          <c:val>
            <c:numRef>
              <c:f>'5)CSR VS SR'!$E$8:$E$13</c:f>
              <c:numCache>
                <c:formatCode>General</c:formatCode>
                <c:ptCount val="5"/>
                <c:pt idx="0">
                  <c:v>918</c:v>
                </c:pt>
                <c:pt idx="1">
                  <c:v>931</c:v>
                </c:pt>
                <c:pt idx="2">
                  <c:v>929</c:v>
                </c:pt>
                <c:pt idx="3">
                  <c:v>912</c:v>
                </c:pt>
                <c:pt idx="4">
                  <c:v>950</c:v>
                </c:pt>
              </c:numCache>
            </c:numRef>
          </c:val>
          <c:extLst>
            <c:ext xmlns:c16="http://schemas.microsoft.com/office/drawing/2014/chart" uri="{C3380CC4-5D6E-409C-BE32-E72D297353CC}">
              <c16:uniqueId val="{00000001-7188-41BC-AC7B-8F13DB0B11EA}"/>
            </c:ext>
          </c:extLst>
        </c:ser>
        <c:dLbls>
          <c:showLegendKey val="0"/>
          <c:showVal val="0"/>
          <c:showCatName val="0"/>
          <c:showSerName val="0"/>
          <c:showPercent val="0"/>
          <c:showBubbleSize val="0"/>
        </c:dLbls>
        <c:gapWidth val="219"/>
        <c:axId val="-1062867088"/>
        <c:axId val="-1062866544"/>
      </c:barChart>
      <c:lineChart>
        <c:grouping val="standard"/>
        <c:varyColors val="0"/>
        <c:ser>
          <c:idx val="0"/>
          <c:order val="0"/>
          <c:tx>
            <c:strRef>
              <c:f>'5)CSR VS SR'!$B$7</c:f>
              <c:strCache>
                <c:ptCount val="1"/>
                <c:pt idx="0">
                  <c:v>Sum of CSR Total - 2001</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'5)CSR VS SR'!$A$8:$A$13</c:f>
              <c:strCache>
                <c:ptCount val="5"/>
                <c:pt idx="0">
                  <c:v>Bihar</c:v>
                </c:pt>
                <c:pt idx="1">
                  <c:v>Madhya Pradesh</c:v>
                </c:pt>
                <c:pt idx="2">
                  <c:v>Maharashtra</c:v>
                </c:pt>
                <c:pt idx="3">
                  <c:v>Uttar Pradesh</c:v>
                </c:pt>
                <c:pt idx="4">
                  <c:v>West Bengal</c:v>
                </c:pt>
              </c:strCache>
            </c:strRef>
          </c:cat>
          <c:val>
            <c:numRef>
              <c:f>'5)CSR VS SR'!$B$8:$B$13</c:f>
              <c:numCache>
                <c:formatCode>General</c:formatCode>
                <c:ptCount val="5"/>
                <c:pt idx="0">
                  <c:v>942</c:v>
                </c:pt>
                <c:pt idx="1">
                  <c:v>932</c:v>
                </c:pt>
                <c:pt idx="2">
                  <c:v>913</c:v>
                </c:pt>
                <c:pt idx="3">
                  <c:v>916</c:v>
                </c:pt>
                <c:pt idx="4">
                  <c:v>960</c:v>
                </c:pt>
              </c:numCache>
            </c:numRef>
          </c:val>
          <c:smooth val="0"/>
          <c:extLst>
            <c:ext xmlns:c16="http://schemas.microsoft.com/office/drawing/2014/chart" uri="{C3380CC4-5D6E-409C-BE32-E72D297353CC}">
              <c16:uniqueId val="{00000002-7188-41BC-AC7B-8F13DB0B11EA}"/>
            </c:ext>
          </c:extLst>
        </c:ser>
        <c:ser>
          <c:idx val="1"/>
          <c:order val="1"/>
          <c:tx>
            <c:strRef>
              <c:f>'5)CSR VS SR'!$C$7</c:f>
              <c:strCache>
                <c:ptCount val="1"/>
                <c:pt idx="0">
                  <c:v>Sum of CSR Total - 2011</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'5)CSR VS SR'!$A$8:$A$13</c:f>
              <c:strCache>
                <c:ptCount val="5"/>
                <c:pt idx="0">
                  <c:v>Bihar</c:v>
                </c:pt>
                <c:pt idx="1">
                  <c:v>Madhya Pradesh</c:v>
                </c:pt>
                <c:pt idx="2">
                  <c:v>Maharashtra</c:v>
                </c:pt>
                <c:pt idx="3">
                  <c:v>Uttar Pradesh</c:v>
                </c:pt>
                <c:pt idx="4">
                  <c:v>West Bengal</c:v>
                </c:pt>
              </c:strCache>
            </c:strRef>
          </c:cat>
          <c:val>
            <c:numRef>
              <c:f>'5)CSR VS SR'!$C$8:$C$13</c:f>
              <c:numCache>
                <c:formatCode>General</c:formatCode>
                <c:ptCount val="5"/>
                <c:pt idx="0">
                  <c:v>935</c:v>
                </c:pt>
                <c:pt idx="1">
                  <c:v>918</c:v>
                </c:pt>
                <c:pt idx="2">
                  <c:v>894</c:v>
                </c:pt>
                <c:pt idx="3">
                  <c:v>902</c:v>
                </c:pt>
                <c:pt idx="4">
                  <c:v>956</c:v>
                </c:pt>
              </c:numCache>
            </c:numRef>
          </c:val>
          <c:smooth val="0"/>
          <c:extLst>
            <c:ext xmlns:c16="http://schemas.microsoft.com/office/drawing/2014/chart" uri="{C3380CC4-5D6E-409C-BE32-E72D297353CC}">
              <c16:uniqueId val="{00000003-7188-41BC-AC7B-8F13DB0B11EA}"/>
            </c:ext>
          </c:extLst>
        </c:ser>
        <c:dLbls>
          <c:showLegendKey val="0"/>
          <c:showVal val="0"/>
          <c:showCatName val="0"/>
          <c:showSerName val="0"/>
          <c:showPercent val="0"/>
          <c:showBubbleSize val="0"/>
        </c:dLbls>
        <c:marker val="1"/>
        <c:smooth val="0"/>
        <c:axId val="-1062867088"/>
        <c:axId val="-1062866544"/>
      </c:lineChart>
      <c:catAx>
        <c:axId val="-10628670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10" b="1" i="0" u="none" strike="noStrike" kern="1200" baseline="0">
                <a:solidFill>
                  <a:schemeClr val="lt1">
                    <a:lumMod val="85000"/>
                  </a:schemeClr>
                </a:solidFill>
                <a:latin typeface="Aharoni" panose="02010803020104030203" pitchFamily="2" charset="-79"/>
                <a:ea typeface="+mn-ea"/>
                <a:cs typeface="+mn-cs"/>
              </a:defRPr>
            </a:pPr>
            <a:endParaRPr lang="en-US"/>
          </a:p>
        </c:txPr>
        <c:crossAx val="-1062866544"/>
        <c:crosses val="autoZero"/>
        <c:auto val="1"/>
        <c:lblAlgn val="ctr"/>
        <c:lblOffset val="100"/>
        <c:noMultiLvlLbl val="0"/>
      </c:catAx>
      <c:valAx>
        <c:axId val="-10628665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solidFill>
            <a:schemeClr val="tx2">
              <a:lumMod val="50000"/>
            </a:schemeClr>
          </a:solid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7088"/>
        <c:crosses val="autoZero"/>
        <c:crossBetween val="between"/>
      </c:valAx>
      <c:spPr>
        <a:noFill/>
        <a:ln>
          <a:noFill/>
        </a:ln>
        <a:effectLst/>
      </c:spPr>
    </c:plotArea>
    <c:legend>
      <c:legendPos val="r"/>
      <c:layout>
        <c:manualLayout>
          <c:xMode val="edge"/>
          <c:yMode val="edge"/>
          <c:x val="0.74658162353361734"/>
          <c:y val="0.45442111402741325"/>
          <c:w val="0.23908145890365856"/>
          <c:h val="0.460650335374744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solidFill>
        <a:schemeClr val="accent3">
          <a:lumMod val="60000"/>
          <a:lumOff val="40000"/>
        </a:schemeClr>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[ETP_Dashboard_Brahmajit.xlsm]6)LR_VS_SR_PIVOT!PivotTable4</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'6)LR_VS_SR_PIVOT'!$B$3</c:f>
              <c:strCache>
                <c:ptCount val="1"/>
                <c:pt idx="0">
                  <c:v>Sum of RANK(L.R.)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'6)LR_VS_SR_PIVOT'!$A$4:$A$39</c:f>
              <c:strCache>
                <c:ptCount val="35"/>
                <c:pt idx="0">
                  <c:v>West Bengal</c:v>
                </c:pt>
                <c:pt idx="1">
                  <c:v>A &amp; N Islands</c:v>
                </c:pt>
                <c:pt idx="2">
                  <c:v>Andhra Pradesh</c:v>
                </c:pt>
                <c:pt idx="3">
                  <c:v>Arunachal Pradesh</c:v>
                </c:pt>
                <c:pt idx="4">
                  <c:v>Assam</c:v>
                </c:pt>
                <c:pt idx="5">
                  <c:v>Bihar</c:v>
                </c:pt>
                <c:pt idx="6">
                  <c:v>Chandigarh</c:v>
                </c:pt>
                <c:pt idx="7">
                  <c:v>Chhattisgarh</c:v>
                </c:pt>
                <c:pt idx="8">
                  <c:v>D &amp; N Haveli</c:v>
                </c:pt>
                <c:pt idx="9">
                  <c:v>Daman &amp; Diu</c:v>
                </c:pt>
                <c:pt idx="10">
                  <c:v>Goa</c:v>
                </c:pt>
                <c:pt idx="11">
                  <c:v>Gujarat</c:v>
                </c:pt>
                <c:pt idx="12">
                  <c:v>Haryana</c:v>
                </c:pt>
                <c:pt idx="13">
                  <c:v>Himachal Pradesh</c:v>
                </c:pt>
                <c:pt idx="14">
                  <c:v>Jammu &amp; Kashmir</c:v>
                </c:pt>
                <c:pt idx="15">
                  <c:v>Jharkhand</c:v>
                </c:pt>
                <c:pt idx="16">
                  <c:v>Karnataka</c:v>
                </c:pt>
                <c:pt idx="17">
                  <c:v>Kerala</c:v>
                </c:pt>
                <c:pt idx="18">
                  <c:v>Lakshadweep</c:v>
                </c:pt>
                <c:pt idx="19">
                  <c:v>Madhya Pradesh</c:v>
                </c:pt>
                <c:pt idx="20">
                  <c:v>Maharashtra</c:v>
                </c:pt>
                <c:pt idx="21">
                  <c:v>Manipur</c:v>
                </c:pt>
                <c:pt idx="22">
                  <c:v>Meghalaya</c:v>
                </c:pt>
                <c:pt idx="23">
                  <c:v>Mizoram</c:v>
                </c:pt>
                <c:pt idx="24">
                  <c:v>Nagaland</c:v>
                </c:pt>
                <c:pt idx="25">
                  <c:v>NCT of Delhi</c:v>
                </c:pt>
                <c:pt idx="26">
                  <c:v>Odisha</c:v>
                </c:pt>
                <c:pt idx="27">
                  <c:v>Puducherry</c:v>
                </c:pt>
                <c:pt idx="28">
                  <c:v>Punjab</c:v>
                </c:pt>
                <c:pt idx="29">
                  <c:v>Rajasthan</c:v>
                </c:pt>
                <c:pt idx="30">
                  <c:v>Sikkim</c:v>
                </c:pt>
                <c:pt idx="31">
                  <c:v>Tamil Nadu</c:v>
                </c:pt>
                <c:pt idx="32">
                  <c:v>Tripura</c:v>
                </c:pt>
                <c:pt idx="33">
                  <c:v>Uttar Pradesh</c:v>
                </c:pt>
                <c:pt idx="34">
                  <c:v>Uttarakhand</c:v>
                </c:pt>
              </c:strCache>
            </c:strRef>
          </c:cat>
          <c:val>
            <c:numRef>
              <c:f>'6)LR_VS_SR_PIVOT'!$B$4:$B$39</c:f>
              <c:numCache>
                <c:formatCode>General</c:formatCode>
                <c:ptCount val="35"/>
                <c:pt idx="0">
                  <c:v>20</c:v>
                </c:pt>
                <c:pt idx="1">
                  <c:v>10</c:v>
                </c:pt>
                <c:pt idx="2">
                  <c:v>32</c:v>
                </c:pt>
                <c:pt idx="3">
                  <c:v>35</c:v>
                </c:pt>
                <c:pt idx="4">
                  <c:v>27</c:v>
                </c:pt>
                <c:pt idx="5">
                  <c:v>36</c:v>
                </c:pt>
                <c:pt idx="6">
                  <c:v>8</c:v>
                </c:pt>
                <c:pt idx="7">
                  <c:v>28</c:v>
                </c:pt>
                <c:pt idx="8">
                  <c:v>19</c:v>
                </c:pt>
                <c:pt idx="9">
                  <c:v>6</c:v>
                </c:pt>
                <c:pt idx="10">
                  <c:v>5</c:v>
                </c:pt>
                <c:pt idx="11">
                  <c:v>18</c:v>
                </c:pt>
                <c:pt idx="12">
                  <c:v>22</c:v>
                </c:pt>
                <c:pt idx="13">
                  <c:v>11</c:v>
                </c:pt>
                <c:pt idx="14">
                  <c:v>31</c:v>
                </c:pt>
                <c:pt idx="15">
                  <c:v>33</c:v>
                </c:pt>
                <c:pt idx="16">
                  <c:v>23</c:v>
                </c:pt>
                <c:pt idx="17">
                  <c:v>1</c:v>
                </c:pt>
                <c:pt idx="18">
                  <c:v>2</c:v>
                </c:pt>
                <c:pt idx="19">
                  <c:v>29</c:v>
                </c:pt>
                <c:pt idx="20">
                  <c:v>12</c:v>
                </c:pt>
                <c:pt idx="21">
                  <c:v>16</c:v>
                </c:pt>
                <c:pt idx="22">
                  <c:v>24</c:v>
                </c:pt>
                <c:pt idx="23">
                  <c:v>3</c:v>
                </c:pt>
                <c:pt idx="24">
                  <c:v>15</c:v>
                </c:pt>
                <c:pt idx="25">
                  <c:v>9</c:v>
                </c:pt>
                <c:pt idx="26">
                  <c:v>26</c:v>
                </c:pt>
                <c:pt idx="27">
                  <c:v>7</c:v>
                </c:pt>
                <c:pt idx="28">
                  <c:v>21</c:v>
                </c:pt>
                <c:pt idx="29">
                  <c:v>34</c:v>
                </c:pt>
                <c:pt idx="30">
                  <c:v>13</c:v>
                </c:pt>
                <c:pt idx="31">
                  <c:v>14</c:v>
                </c:pt>
                <c:pt idx="32">
                  <c:v>4</c:v>
                </c:pt>
                <c:pt idx="33">
                  <c:v>30</c:v>
                </c:pt>
                <c:pt idx="34">
                  <c:v>17</c:v>
                </c:pt>
              </c:numCache>
            </c:numRef>
          </c:val>
          <c:extLst>
            <c:ext xmlns:c16="http://schemas.microsoft.com/office/drawing/2014/chart" uri="{C3380CC4-5D6E-409C-BE32-E72D297353CC}">
              <c16:uniqueId val="{00000000-358C-4860-AFDF-9C44E120E2C6}"/>
            </c:ext>
          </c:extLst>
        </c:ser>
        <c:ser>
          <c:idx val="1"/>
          <c:order val="1"/>
          <c:tx>
            <c:strRef>
              <c:f>'6)LR_VS_SR_PIVOT'!$C$3</c:f>
              <c:strCache>
                <c:ptCount val="1"/>
                <c:pt idx="0">
                  <c:v>Sum of RANK(S.R.)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'6)LR_VS_SR_PIVOT'!$A$4:$A$39</c:f>
              <c:strCache>
                <c:ptCount val="35"/>
                <c:pt idx="0">
                  <c:v>West Bengal</c:v>
                </c:pt>
                <c:pt idx="1">
                  <c:v>A &amp; N Islands</c:v>
                </c:pt>
                <c:pt idx="2">
                  <c:v>Andhra Pradesh</c:v>
                </c:pt>
                <c:pt idx="3">
                  <c:v>Arunachal Pradesh</c:v>
                </c:pt>
                <c:pt idx="4">
                  <c:v>Assam</c:v>
                </c:pt>
                <c:pt idx="5">
                  <c:v>Bihar</c:v>
                </c:pt>
                <c:pt idx="6">
                  <c:v>Chandigarh</c:v>
                </c:pt>
                <c:pt idx="7">
                  <c:v>Chhattisgarh</c:v>
                </c:pt>
                <c:pt idx="8">
                  <c:v>D &amp; N Haveli</c:v>
                </c:pt>
                <c:pt idx="9">
                  <c:v>Daman &amp; Diu</c:v>
                </c:pt>
                <c:pt idx="10">
                  <c:v>Goa</c:v>
                </c:pt>
                <c:pt idx="11">
                  <c:v>Gujarat</c:v>
                </c:pt>
                <c:pt idx="12">
                  <c:v>Haryana</c:v>
                </c:pt>
                <c:pt idx="13">
                  <c:v>Himachal Pradesh</c:v>
                </c:pt>
                <c:pt idx="14">
                  <c:v>Jammu &amp; Kashmir</c:v>
                </c:pt>
                <c:pt idx="15">
                  <c:v>Jharkhand</c:v>
                </c:pt>
                <c:pt idx="16">
                  <c:v>Karnataka</c:v>
                </c:pt>
                <c:pt idx="17">
                  <c:v>Kerala</c:v>
                </c:pt>
                <c:pt idx="18">
                  <c:v>Lakshadweep</c:v>
                </c:pt>
                <c:pt idx="19">
                  <c:v>Madhya Pradesh</c:v>
                </c:pt>
                <c:pt idx="20">
                  <c:v>Maharashtra</c:v>
                </c:pt>
                <c:pt idx="21">
                  <c:v>Manipur</c:v>
                </c:pt>
                <c:pt idx="22">
                  <c:v>Meghalaya</c:v>
                </c:pt>
                <c:pt idx="23">
                  <c:v>Mizoram</c:v>
                </c:pt>
                <c:pt idx="24">
                  <c:v>Nagaland</c:v>
                </c:pt>
                <c:pt idx="25">
                  <c:v>NCT of Delhi</c:v>
                </c:pt>
                <c:pt idx="26">
                  <c:v>Odisha</c:v>
                </c:pt>
                <c:pt idx="27">
                  <c:v>Puducherry</c:v>
                </c:pt>
                <c:pt idx="28">
                  <c:v>Punjab</c:v>
                </c:pt>
                <c:pt idx="29">
                  <c:v>Rajasthan</c:v>
                </c:pt>
                <c:pt idx="30">
                  <c:v>Sikkim</c:v>
                </c:pt>
                <c:pt idx="31">
                  <c:v>Tamil Nadu</c:v>
                </c:pt>
                <c:pt idx="32">
                  <c:v>Tripura</c:v>
                </c:pt>
                <c:pt idx="33">
                  <c:v>Uttar Pradesh</c:v>
                </c:pt>
                <c:pt idx="34">
                  <c:v>Uttarakhand</c:v>
                </c:pt>
              </c:strCache>
            </c:strRef>
          </c:cat>
          <c:val>
            <c:numRef>
              <c:f>'6)LR_VS_SR_PIVOT'!$C$4:$C$39</c:f>
              <c:numCache>
                <c:formatCode>General</c:formatCode>
                <c:ptCount val="35"/>
                <c:pt idx="0">
                  <c:v>15</c:v>
                </c:pt>
                <c:pt idx="1">
                  <c:v>30</c:v>
                </c:pt>
                <c:pt idx="2">
                  <c:v>4</c:v>
                </c:pt>
                <c:pt idx="3">
                  <c:v>19</c:v>
                </c:pt>
                <c:pt idx="4">
                  <c:v>14</c:v>
                </c:pt>
                <c:pt idx="5">
                  <c:v>24</c:v>
                </c:pt>
                <c:pt idx="6">
                  <c:v>32</c:v>
                </c:pt>
                <c:pt idx="7">
                  <c:v>5</c:v>
                </c:pt>
                <c:pt idx="8">
                  <c:v>33</c:v>
                </c:pt>
                <c:pt idx="9">
                  <c:v>34</c:v>
                </c:pt>
                <c:pt idx="10">
                  <c:v>10</c:v>
                </c:pt>
                <c:pt idx="11">
                  <c:v>23</c:v>
                </c:pt>
                <c:pt idx="12">
                  <c:v>29</c:v>
                </c:pt>
                <c:pt idx="13">
                  <c:v>11</c:v>
                </c:pt>
                <c:pt idx="14">
                  <c:v>28</c:v>
                </c:pt>
                <c:pt idx="15">
                  <c:v>16</c:v>
                </c:pt>
                <c:pt idx="16">
                  <c:v>10</c:v>
                </c:pt>
                <c:pt idx="17">
                  <c:v>1</c:v>
                </c:pt>
                <c:pt idx="18">
                  <c:v>17</c:v>
                </c:pt>
                <c:pt idx="19">
                  <c:v>20</c:v>
                </c:pt>
                <c:pt idx="20">
                  <c:v>21</c:v>
                </c:pt>
                <c:pt idx="21">
                  <c:v>7</c:v>
                </c:pt>
                <c:pt idx="22">
                  <c:v>6</c:v>
                </c:pt>
                <c:pt idx="23">
                  <c:v>9</c:v>
                </c:pt>
                <c:pt idx="24">
                  <c:v>20</c:v>
                </c:pt>
                <c:pt idx="25">
                  <c:v>31</c:v>
                </c:pt>
                <c:pt idx="26">
                  <c:v>8</c:v>
                </c:pt>
                <c:pt idx="27">
                  <c:v>2</c:v>
                </c:pt>
                <c:pt idx="28">
                  <c:v>26</c:v>
                </c:pt>
                <c:pt idx="29">
                  <c:v>22</c:v>
                </c:pt>
                <c:pt idx="30">
                  <c:v>27</c:v>
                </c:pt>
                <c:pt idx="31">
                  <c:v>3</c:v>
                </c:pt>
                <c:pt idx="32">
                  <c:v>13</c:v>
                </c:pt>
                <c:pt idx="33">
                  <c:v>25</c:v>
                </c:pt>
                <c:pt idx="34">
                  <c:v>12</c:v>
                </c:pt>
              </c:numCache>
            </c:numRef>
          </c:val>
          <c:extLst>
            <c:ext xmlns:c16="http://schemas.microsoft.com/office/drawing/2014/chart" uri="{C3380CC4-5D6E-409C-BE32-E72D297353CC}">
              <c16:uniqueId val="{00000001-358C-4860-AFDF-9C44E120E2C6}"/>
            </c:ext>
          </c:extLst>
        </c:ser>
        <c:dLbls>
          <c:showLegendKey val="0"/>
          <c:showVal val="0"/>
          <c:showCatName val="0"/>
          <c:showSerName val="0"/>
          <c:showPercent val="0"/>
          <c:showBubbleSize val="0"/>
        </c:dLbls>
        <c:gapWidth val="100"/>
        <c:overlap val="-24"/>
        <c:axId val="-1062857840"/>
        <c:axId val="-1062864368"/>
      </c:barChart>
      <c:catAx>
        <c:axId val="-10628578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4368"/>
        <c:crosses val="autoZero"/>
        <c:auto val="1"/>
        <c:lblAlgn val="ctr"/>
        <c:lblOffset val="100"/>
        <c:noMultiLvlLbl val="0"/>
      </c:catAx>
      <c:valAx>
        <c:axId val="-106286436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578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[ETP_Dashboard_Brahmajit.xlsm]7)DGR_VS_SR_PIVOT!PivotTable3</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'7)DGR_VS_SR_PIVOT'!$B$3</c:f>
              <c:strCache>
                <c:ptCount val="1"/>
                <c:pt idx="0">
                  <c:v>RANK DIFF.</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'7)DGR_VS_SR_PIVOT'!$A$4:$A$39</c:f>
              <c:strCache>
                <c:ptCount val="35"/>
                <c:pt idx="0">
                  <c:v>A &amp; N Islands</c:v>
                </c:pt>
                <c:pt idx="1">
                  <c:v>Andhra Pradesh</c:v>
                </c:pt>
                <c:pt idx="2">
                  <c:v>Arunachal Pradesh</c:v>
                </c:pt>
                <c:pt idx="3">
                  <c:v>Assam</c:v>
                </c:pt>
                <c:pt idx="4">
                  <c:v>Bihar</c:v>
                </c:pt>
                <c:pt idx="5">
                  <c:v>Chandigarh</c:v>
                </c:pt>
                <c:pt idx="6">
                  <c:v>Chhattisgarh</c:v>
                </c:pt>
                <c:pt idx="7">
                  <c:v>D &amp; N Haveli</c:v>
                </c:pt>
                <c:pt idx="8">
                  <c:v>Daman &amp; Diu</c:v>
                </c:pt>
                <c:pt idx="9">
                  <c:v>Goa</c:v>
                </c:pt>
                <c:pt idx="10">
                  <c:v>Gujarat</c:v>
                </c:pt>
                <c:pt idx="11">
                  <c:v>Haryana</c:v>
                </c:pt>
                <c:pt idx="12">
                  <c:v>Himachal Pradesh</c:v>
                </c:pt>
                <c:pt idx="13">
                  <c:v>Jammu &amp;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NCT of Delhi</c:v>
                </c:pt>
                <c:pt idx="25">
                  <c:v>Odisha</c:v>
                </c:pt>
                <c:pt idx="26">
                  <c:v>Puducherry</c:v>
                </c:pt>
                <c:pt idx="27">
                  <c:v>Punjab</c:v>
                </c:pt>
                <c:pt idx="28">
                  <c:v>Rajasthan</c:v>
                </c:pt>
                <c:pt idx="29">
                  <c:v>Sikkim</c:v>
                </c:pt>
                <c:pt idx="30">
                  <c:v>Tamil Nadu</c:v>
                </c:pt>
                <c:pt idx="31">
                  <c:v>Tripura</c:v>
                </c:pt>
                <c:pt idx="32">
                  <c:v>Uttar Pradesh</c:v>
                </c:pt>
                <c:pt idx="33">
                  <c:v>Uttarakhand</c:v>
                </c:pt>
                <c:pt idx="34">
                  <c:v>West Bengal</c:v>
                </c:pt>
              </c:strCache>
            </c:strRef>
          </c:cat>
          <c:val>
            <c:numRef>
              <c:f>'7)DGR_VS_SR_PIVOT'!$B$4:$B$39</c:f>
              <c:numCache>
                <c:formatCode>General</c:formatCode>
                <c:ptCount val="35"/>
                <c:pt idx="0">
                  <c:v>7</c:v>
                </c:pt>
                <c:pt idx="1">
                  <c:v>15.5</c:v>
                </c:pt>
                <c:pt idx="2">
                  <c:v>2</c:v>
                </c:pt>
                <c:pt idx="3">
                  <c:v>9</c:v>
                </c:pt>
                <c:pt idx="4">
                  <c:v>31.5</c:v>
                </c:pt>
                <c:pt idx="5">
                  <c:v>4.5</c:v>
                </c:pt>
                <c:pt idx="6">
                  <c:v>28</c:v>
                </c:pt>
                <c:pt idx="7">
                  <c:v>34</c:v>
                </c:pt>
                <c:pt idx="8">
                  <c:v>35</c:v>
                </c:pt>
                <c:pt idx="9">
                  <c:v>19</c:v>
                </c:pt>
                <c:pt idx="10">
                  <c:v>31.5</c:v>
                </c:pt>
                <c:pt idx="11">
                  <c:v>11</c:v>
                </c:pt>
                <c:pt idx="12">
                  <c:v>27</c:v>
                </c:pt>
                <c:pt idx="13">
                  <c:v>33</c:v>
                </c:pt>
                <c:pt idx="14">
                  <c:v>25</c:v>
                </c:pt>
                <c:pt idx="15">
                  <c:v>21</c:v>
                </c:pt>
                <c:pt idx="16">
                  <c:v>8</c:v>
                </c:pt>
                <c:pt idx="17">
                  <c:v>32</c:v>
                </c:pt>
                <c:pt idx="18">
                  <c:v>19</c:v>
                </c:pt>
                <c:pt idx="19">
                  <c:v>25</c:v>
                </c:pt>
                <c:pt idx="20">
                  <c:v>25</c:v>
                </c:pt>
                <c:pt idx="21">
                  <c:v>12</c:v>
                </c:pt>
                <c:pt idx="22">
                  <c:v>4.5</c:v>
                </c:pt>
                <c:pt idx="23">
                  <c:v>6</c:v>
                </c:pt>
                <c:pt idx="24">
                  <c:v>1</c:v>
                </c:pt>
                <c:pt idx="25">
                  <c:v>25</c:v>
                </c:pt>
                <c:pt idx="26">
                  <c:v>5</c:v>
                </c:pt>
                <c:pt idx="27">
                  <c:v>10</c:v>
                </c:pt>
                <c:pt idx="28">
                  <c:v>25</c:v>
                </c:pt>
                <c:pt idx="29">
                  <c:v>15.5</c:v>
                </c:pt>
                <c:pt idx="30">
                  <c:v>20</c:v>
                </c:pt>
                <c:pt idx="31">
                  <c:v>19</c:v>
                </c:pt>
                <c:pt idx="32">
                  <c:v>16</c:v>
                </c:pt>
                <c:pt idx="33">
                  <c:v>29</c:v>
                </c:pt>
                <c:pt idx="34">
                  <c:v>13</c:v>
                </c:pt>
              </c:numCache>
            </c:numRef>
          </c:val>
          <c:extLst>
            <c:ext xmlns:c16="http://schemas.microsoft.com/office/drawing/2014/chart" uri="{C3380CC4-5D6E-409C-BE32-E72D297353CC}">
              <c16:uniqueId val="{00000000-AE77-4D85-BEC4-8519A95A028F}"/>
            </c:ext>
          </c:extLst>
        </c:ser>
        <c:ser>
          <c:idx val="1"/>
          <c:order val="1"/>
          <c:tx>
            <c:strRef>
              <c:f>'7)DGR_VS_SR_PIVOT'!$C$3</c:f>
              <c:strCache>
                <c:ptCount val="1"/>
                <c:pt idx="0">
                  <c:v>RANK DGR</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'7)DGR_VS_SR_PIVOT'!$A$4:$A$39</c:f>
              <c:strCache>
                <c:ptCount val="35"/>
                <c:pt idx="0">
                  <c:v>A &amp; N Islands</c:v>
                </c:pt>
                <c:pt idx="1">
                  <c:v>Andhra Pradesh</c:v>
                </c:pt>
                <c:pt idx="2">
                  <c:v>Arunachal Pradesh</c:v>
                </c:pt>
                <c:pt idx="3">
                  <c:v>Assam</c:v>
                </c:pt>
                <c:pt idx="4">
                  <c:v>Bihar</c:v>
                </c:pt>
                <c:pt idx="5">
                  <c:v>Chandigarh</c:v>
                </c:pt>
                <c:pt idx="6">
                  <c:v>Chhattisgarh</c:v>
                </c:pt>
                <c:pt idx="7">
                  <c:v>D &amp; N Haveli</c:v>
                </c:pt>
                <c:pt idx="8">
                  <c:v>Daman &amp; Diu</c:v>
                </c:pt>
                <c:pt idx="9">
                  <c:v>Goa</c:v>
                </c:pt>
                <c:pt idx="10">
                  <c:v>Gujarat</c:v>
                </c:pt>
                <c:pt idx="11">
                  <c:v>Haryana</c:v>
                </c:pt>
                <c:pt idx="12">
                  <c:v>Himachal Pradesh</c:v>
                </c:pt>
                <c:pt idx="13">
                  <c:v>Jammu &amp; Kashmir</c:v>
                </c:pt>
                <c:pt idx="14">
                  <c:v>Jharkhand</c:v>
                </c:pt>
                <c:pt idx="15">
                  <c:v>Karnataka</c:v>
                </c:pt>
                <c:pt idx="16">
                  <c:v>Kerala</c:v>
                </c:pt>
                <c:pt idx="17">
                  <c:v>Lakshadweep</c:v>
                </c:pt>
                <c:pt idx="18">
                  <c:v>Madhya Pradesh</c:v>
                </c:pt>
                <c:pt idx="19">
                  <c:v>Maharashtra</c:v>
                </c:pt>
                <c:pt idx="20">
                  <c:v>Manipur</c:v>
                </c:pt>
                <c:pt idx="21">
                  <c:v>Meghalaya</c:v>
                </c:pt>
                <c:pt idx="22">
                  <c:v>Mizoram</c:v>
                </c:pt>
                <c:pt idx="23">
                  <c:v>Nagaland</c:v>
                </c:pt>
                <c:pt idx="24">
                  <c:v>NCT of Delhi</c:v>
                </c:pt>
                <c:pt idx="25">
                  <c:v>Odisha</c:v>
                </c:pt>
                <c:pt idx="26">
                  <c:v>Puducherry</c:v>
                </c:pt>
                <c:pt idx="27">
                  <c:v>Punjab</c:v>
                </c:pt>
                <c:pt idx="28">
                  <c:v>Rajasthan</c:v>
                </c:pt>
                <c:pt idx="29">
                  <c:v>Sikkim</c:v>
                </c:pt>
                <c:pt idx="30">
                  <c:v>Tamil Nadu</c:v>
                </c:pt>
                <c:pt idx="31">
                  <c:v>Tripura</c:v>
                </c:pt>
                <c:pt idx="32">
                  <c:v>Uttar Pradesh</c:v>
                </c:pt>
                <c:pt idx="33">
                  <c:v>Uttarakhand</c:v>
                </c:pt>
                <c:pt idx="34">
                  <c:v>West Bengal</c:v>
                </c:pt>
              </c:strCache>
            </c:strRef>
          </c:cat>
          <c:val>
            <c:numRef>
              <c:f>'7)DGR_VS_SR_PIVOT'!$C$4:$C$39</c:f>
              <c:numCache>
                <c:formatCode>General</c:formatCode>
                <c:ptCount val="35"/>
                <c:pt idx="0">
                  <c:v>32</c:v>
                </c:pt>
                <c:pt idx="1">
                  <c:v>30</c:v>
                </c:pt>
                <c:pt idx="2">
                  <c:v>5</c:v>
                </c:pt>
                <c:pt idx="3">
                  <c:v>20</c:v>
                </c:pt>
                <c:pt idx="4">
                  <c:v>6</c:v>
                </c:pt>
                <c:pt idx="5">
                  <c:v>19</c:v>
                </c:pt>
                <c:pt idx="6">
                  <c:v>10</c:v>
                </c:pt>
                <c:pt idx="7">
                  <c:v>1</c:v>
                </c:pt>
                <c:pt idx="8">
                  <c:v>2</c:v>
                </c:pt>
                <c:pt idx="9">
                  <c:v>31</c:v>
                </c:pt>
                <c:pt idx="10">
                  <c:v>17</c:v>
                </c:pt>
                <c:pt idx="11">
                  <c:v>16</c:v>
                </c:pt>
                <c:pt idx="12">
                  <c:v>29.5</c:v>
                </c:pt>
                <c:pt idx="13">
                  <c:v>8</c:v>
                </c:pt>
                <c:pt idx="14">
                  <c:v>11</c:v>
                </c:pt>
                <c:pt idx="15">
                  <c:v>23.5</c:v>
                </c:pt>
                <c:pt idx="16">
                  <c:v>34</c:v>
                </c:pt>
                <c:pt idx="17">
                  <c:v>33</c:v>
                </c:pt>
                <c:pt idx="18">
                  <c:v>14</c:v>
                </c:pt>
                <c:pt idx="19">
                  <c:v>21</c:v>
                </c:pt>
                <c:pt idx="20">
                  <c:v>7</c:v>
                </c:pt>
                <c:pt idx="21">
                  <c:v>4</c:v>
                </c:pt>
                <c:pt idx="22">
                  <c:v>9</c:v>
                </c:pt>
                <c:pt idx="23">
                  <c:v>35</c:v>
                </c:pt>
                <c:pt idx="24">
                  <c:v>13</c:v>
                </c:pt>
                <c:pt idx="25">
                  <c:v>25</c:v>
                </c:pt>
                <c:pt idx="26">
                  <c:v>3</c:v>
                </c:pt>
                <c:pt idx="27">
                  <c:v>26</c:v>
                </c:pt>
                <c:pt idx="28">
                  <c:v>12</c:v>
                </c:pt>
                <c:pt idx="29">
                  <c:v>29.5</c:v>
                </c:pt>
                <c:pt idx="30">
                  <c:v>23.5</c:v>
                </c:pt>
                <c:pt idx="31">
                  <c:v>24</c:v>
                </c:pt>
                <c:pt idx="32">
                  <c:v>15</c:v>
                </c:pt>
                <c:pt idx="33">
                  <c:v>18</c:v>
                </c:pt>
                <c:pt idx="34">
                  <c:v>27</c:v>
                </c:pt>
              </c:numCache>
            </c:numRef>
          </c:val>
          <c:extLst>
            <c:ext xmlns:c16="http://schemas.microsoft.com/office/drawing/2014/chart" uri="{C3380CC4-5D6E-409C-BE32-E72D297353CC}">
              <c16:uniqueId val="{00000001-AE77-4D85-BEC4-8519A95A028F}"/>
            </c:ext>
          </c:extLst>
        </c:ser>
        <c:dLbls>
          <c:showLegendKey val="0"/>
          <c:showVal val="0"/>
          <c:showCatName val="0"/>
          <c:showSerName val="0"/>
          <c:showPercent val="0"/>
          <c:showBubbleSize val="0"/>
        </c:dLbls>
        <c:gapWidth val="100"/>
        <c:overlap val="-24"/>
        <c:axId val="-1062866000"/>
        <c:axId val="-1062863824"/>
      </c:barChart>
      <c:catAx>
        <c:axId val="-10628660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3824"/>
        <c:crosses val="autoZero"/>
        <c:auto val="1"/>
        <c:lblAlgn val="ctr"/>
        <c:lblOffset val="100"/>
        <c:noMultiLvlLbl val="0"/>
      </c:catAx>
      <c:valAx>
        <c:axId val="-106286382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62866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[ETP_Dashboard_Brahmajit.xlsm]Sheet6!PivotTable8</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Sheet6!$B$3</c:f>
              <c:strCache>
                <c:ptCount val="1"/>
                <c:pt idx="0">
                  <c:v>Total</c:v>
                </c:pt>
              </c:strCache>
            </c:strRef>
          </c:tx>
          <c:spPr>
            <a:solidFill>
              <a:schemeClr val="accent1"/>
            </a:solidFill>
            <a:ln>
              <a:noFill/>
            </a:ln>
            <a:effectLst/>
          </c:spPr>
          <c:invertIfNegative val="0"/>
          <c:cat>
            <c:strRef>
              <c:f>Sheet6!$A$4:$A$23</c:f>
              <c:strCache>
                <c:ptCount val="19"/>
                <c:pt idx="0">
                  <c:v>A &amp; N Islands</c:v>
                </c:pt>
                <c:pt idx="1">
                  <c:v>Andhra Pradesh</c:v>
                </c:pt>
                <c:pt idx="2">
                  <c:v>Arunachal Pradesh</c:v>
                </c:pt>
                <c:pt idx="3">
                  <c:v>Assam</c:v>
                </c:pt>
                <c:pt idx="4">
                  <c:v>Chandigarh</c:v>
                </c:pt>
                <c:pt idx="5">
                  <c:v>Goa</c:v>
                </c:pt>
                <c:pt idx="6">
                  <c:v>Haryana</c:v>
                </c:pt>
                <c:pt idx="7">
                  <c:v>Kerala</c:v>
                </c:pt>
                <c:pt idx="8">
                  <c:v>Madhya Pradesh</c:v>
                </c:pt>
                <c:pt idx="9">
                  <c:v>Meghalaya</c:v>
                </c:pt>
                <c:pt idx="10">
                  <c:v>Mizoram</c:v>
                </c:pt>
                <c:pt idx="11">
                  <c:v>Nagaland</c:v>
                </c:pt>
                <c:pt idx="12">
                  <c:v>NCT of Delhi</c:v>
                </c:pt>
                <c:pt idx="13">
                  <c:v>Puducherry</c:v>
                </c:pt>
                <c:pt idx="14">
                  <c:v>Punjab</c:v>
                </c:pt>
                <c:pt idx="15">
                  <c:v>Sikkim</c:v>
                </c:pt>
                <c:pt idx="16">
                  <c:v>Tripura</c:v>
                </c:pt>
                <c:pt idx="17">
                  <c:v>Uttar Pradesh</c:v>
                </c:pt>
                <c:pt idx="18">
                  <c:v>West Bengal</c:v>
                </c:pt>
              </c:strCache>
            </c:strRef>
          </c:cat>
          <c:val>
            <c:numRef>
              <c:f>Sheet6!$B$4:$B$23</c:f>
              <c:numCache>
                <c:formatCode>General</c:formatCode>
                <c:ptCount val="19"/>
                <c:pt idx="0">
                  <c:v>30</c:v>
                </c:pt>
                <c:pt idx="1">
                  <c:v>15</c:v>
                </c:pt>
                <c:pt idx="2">
                  <c:v>45</c:v>
                </c:pt>
                <c:pt idx="3">
                  <c:v>23</c:v>
                </c:pt>
                <c:pt idx="4">
                  <c:v>41</c:v>
                </c:pt>
                <c:pt idx="5">
                  <c:v>12</c:v>
                </c:pt>
                <c:pt idx="6">
                  <c:v>18</c:v>
                </c:pt>
                <c:pt idx="7">
                  <c:v>26</c:v>
                </c:pt>
                <c:pt idx="8">
                  <c:v>12</c:v>
                </c:pt>
                <c:pt idx="9">
                  <c:v>17</c:v>
                </c:pt>
                <c:pt idx="10">
                  <c:v>41</c:v>
                </c:pt>
                <c:pt idx="11">
                  <c:v>31</c:v>
                </c:pt>
                <c:pt idx="12">
                  <c:v>47</c:v>
                </c:pt>
                <c:pt idx="13">
                  <c:v>36</c:v>
                </c:pt>
                <c:pt idx="14">
                  <c:v>19</c:v>
                </c:pt>
                <c:pt idx="15">
                  <c:v>15</c:v>
                </c:pt>
                <c:pt idx="16">
                  <c:v>12</c:v>
                </c:pt>
                <c:pt idx="17">
                  <c:v>14</c:v>
                </c:pt>
                <c:pt idx="18">
                  <c:v>16</c:v>
                </c:pt>
              </c:numCache>
            </c:numRef>
          </c:val>
          <c:extLst>
            <c:ext xmlns:c16="http://schemas.microsoft.com/office/drawing/2014/chart" uri="{C3380CC4-5D6E-409C-BE32-E72D297353CC}">
              <c16:uniqueId val="{00000000-B498-4CC9-9B57-008D965AC0BE}"/>
            </c:ext>
          </c:extLst>
        </c:ser>
        <c:dLbls>
          <c:showLegendKey val="0"/>
          <c:showVal val="0"/>
          <c:showCatName val="0"/>
          <c:showSerName val="0"/>
          <c:showPercent val="0"/>
          <c:showBubbleSize val="0"/>
        </c:dLbls>
        <c:gapWidth val="219"/>
        <c:overlap val="-27"/>
        <c:axId val="1017480208"/>
        <c:axId val="1017481168"/>
      </c:barChart>
      <c:catAx>
        <c:axId val="1017480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481168"/>
        <c:crosses val="autoZero"/>
        <c:auto val="1"/>
        <c:lblAlgn val="ctr"/>
        <c:lblOffset val="100"/>
        <c:noMultiLvlLbl val="0"/>
      </c:catAx>
      <c:valAx>
        <c:axId val="1017481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480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28575</xdr:rowOff>
    </xdr:from>
    <xdr:to>
      <xdr:col>14</xdr:col>
      <xdr:colOff>428624</xdr:colOff>
      <xdr:row>3</xdr:row>
      <xdr:rowOff>57150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0" y="28575"/>
          <a:ext cx="12163424" cy="60007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4000" u="none">
              <a:solidFill>
                <a:schemeClr val="accent1">
                  <a:lumMod val="50000"/>
                </a:schemeClr>
              </a:solidFill>
              <a:latin typeface="AR CENA" panose="02000000000000000000" pitchFamily="2" charset="0"/>
            </a:rPr>
            <a:t>                                         </a:t>
          </a:r>
          <a:r>
            <a:rPr lang="en-IN" sz="4000" u="none">
              <a:solidFill>
                <a:schemeClr val="accent1">
                  <a:lumMod val="50000"/>
                </a:schemeClr>
              </a:solidFill>
              <a:latin typeface="Algerian" panose="04020705040A02060702" pitchFamily="82" charset="0"/>
            </a:rPr>
            <a:t>INDEX</a:t>
          </a:r>
        </a:p>
      </xdr:txBody>
    </xdr:sp>
    <xdr:clientData/>
  </xdr:twoCellAnchor>
  <xdr:twoCellAnchor>
    <xdr:from>
      <xdr:col>4</xdr:col>
      <xdr:colOff>381000</xdr:colOff>
      <xdr:row>15</xdr:row>
      <xdr:rowOff>107949</xdr:rowOff>
    </xdr:from>
    <xdr:to>
      <xdr:col>6</xdr:col>
      <xdr:colOff>76200</xdr:colOff>
      <xdr:row>21</xdr:row>
      <xdr:rowOff>62229</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3486150" y="2965449"/>
          <a:ext cx="1270000" cy="109728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latin typeface="AR CENA" panose="02000000000000000000" pitchFamily="2" charset="0"/>
            </a:rPr>
            <a:t>CHANGE IN SEX RATIO </a:t>
          </a:r>
        </a:p>
        <a:p>
          <a:r>
            <a:rPr lang="en-IN" sz="1200">
              <a:solidFill>
                <a:schemeClr val="bg1"/>
              </a:solidFill>
              <a:latin typeface="AR CENA" panose="02000000000000000000" pitchFamily="2" charset="0"/>
            </a:rPr>
            <a:t>PIVOT TABLE</a:t>
          </a:r>
        </a:p>
      </xdr:txBody>
    </xdr:sp>
    <xdr:clientData/>
  </xdr:twoCellAnchor>
  <xdr:twoCellAnchor>
    <xdr:from>
      <xdr:col>9</xdr:col>
      <xdr:colOff>225426</xdr:colOff>
      <xdr:row>20</xdr:row>
      <xdr:rowOff>82550</xdr:rowOff>
    </xdr:from>
    <xdr:to>
      <xdr:col>11</xdr:col>
      <xdr:colOff>304800</xdr:colOff>
      <xdr:row>31</xdr:row>
      <xdr:rowOff>44450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7267576" y="3892550"/>
          <a:ext cx="1654174" cy="205740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a:solidFill>
                <a:schemeClr val="bg1"/>
              </a:solidFill>
              <a:latin typeface="AR CENA" panose="02000000000000000000" pitchFamily="2" charset="0"/>
            </a:rPr>
            <a:t>CORRELATION BETWEEN LITERACY RATE AND  SEX RATIO USING SPEARMAN'S CORRELATION COEFFICIENT PIVOT TABLE</a:t>
          </a:r>
        </a:p>
      </xdr:txBody>
    </xdr:sp>
    <xdr:clientData/>
  </xdr:twoCellAnchor>
  <xdr:twoCellAnchor>
    <xdr:from>
      <xdr:col>0</xdr:col>
      <xdr:colOff>739775</xdr:colOff>
      <xdr:row>6</xdr:row>
      <xdr:rowOff>133350</xdr:rowOff>
    </xdr:from>
    <xdr:to>
      <xdr:col>2</xdr:col>
      <xdr:colOff>704850</xdr:colOff>
      <xdr:row>11</xdr:row>
      <xdr:rowOff>57150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39775" y="1276350"/>
          <a:ext cx="1495425" cy="87630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a:solidFill>
                <a:schemeClr val="bg1"/>
              </a:solidFill>
              <a:latin typeface="AR CENA" panose="02000000000000000000" pitchFamily="2" charset="0"/>
            </a:rPr>
            <a:t>INTRODUCTION</a:t>
          </a:r>
          <a:r>
            <a:rPr lang="en-IN" sz="1400" baseline="0">
              <a:solidFill>
                <a:schemeClr val="bg1"/>
              </a:solidFill>
              <a:latin typeface="AR CENA" panose="02000000000000000000" pitchFamily="2" charset="0"/>
            </a:rPr>
            <a:t> TO THE DATASET.</a:t>
          </a:r>
          <a:endParaRPr lang="en-IN" sz="1400">
            <a:solidFill>
              <a:schemeClr val="bg1"/>
            </a:solidFill>
            <a:latin typeface="AR CENA" panose="02000000000000000000" pitchFamily="2" charset="0"/>
          </a:endParaRPr>
        </a:p>
      </xdr:txBody>
    </xdr:sp>
    <xdr:clientData/>
  </xdr:twoCellAnchor>
  <xdr:twoCellAnchor>
    <xdr:from>
      <xdr:col>6</xdr:col>
      <xdr:colOff>777875</xdr:colOff>
      <xdr:row>16</xdr:row>
      <xdr:rowOff>82550</xdr:rowOff>
    </xdr:from>
    <xdr:to>
      <xdr:col>8</xdr:col>
      <xdr:colOff>523875</xdr:colOff>
      <xdr:row>22</xdr:row>
      <xdr:rowOff>36830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5457825" y="3130550"/>
          <a:ext cx="1320800" cy="109728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latin typeface="AR CENA" panose="02000000000000000000" pitchFamily="2" charset="0"/>
            </a:rPr>
            <a:t>STATES</a:t>
          </a:r>
          <a:r>
            <a:rPr lang="en-IN" sz="1200" baseline="0">
              <a:solidFill>
                <a:schemeClr val="bg1"/>
              </a:solidFill>
              <a:latin typeface="AR CENA" panose="02000000000000000000" pitchFamily="2" charset="0"/>
            </a:rPr>
            <a:t> ABOVE AVERAGE PIVOT TABLE</a:t>
          </a:r>
          <a:endParaRPr lang="en-IN" sz="1200">
            <a:solidFill>
              <a:schemeClr val="bg1"/>
            </a:solidFill>
            <a:latin typeface="AR CENA" panose="02000000000000000000" pitchFamily="2" charset="0"/>
          </a:endParaRPr>
        </a:p>
      </xdr:txBody>
    </xdr:sp>
    <xdr:clientData/>
  </xdr:twoCellAnchor>
  <xdr:twoCellAnchor>
    <xdr:from>
      <xdr:col>4</xdr:col>
      <xdr:colOff>390524</xdr:colOff>
      <xdr:row>7</xdr:row>
      <xdr:rowOff>76198</xdr:rowOff>
    </xdr:from>
    <xdr:to>
      <xdr:col>6</xdr:col>
      <xdr:colOff>146049</xdr:colOff>
      <xdr:row>15</xdr:row>
      <xdr:rowOff>82550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3495674" y="1409698"/>
          <a:ext cx="1330325" cy="1530352"/>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u="none">
              <a:solidFill>
                <a:schemeClr val="bg1"/>
              </a:solidFill>
              <a:latin typeface="AR CENA" panose="02000000000000000000" pitchFamily="2" charset="0"/>
            </a:rPr>
            <a:t>NUMBER OF FEMALES PER 1000 MEN ACCORDING TO RESIDENCE PIVOT TABLE</a:t>
          </a:r>
        </a:p>
      </xdr:txBody>
    </xdr:sp>
    <xdr:clientData/>
  </xdr:twoCellAnchor>
  <xdr:twoCellAnchor>
    <xdr:from>
      <xdr:col>7</xdr:col>
      <xdr:colOff>0</xdr:colOff>
      <xdr:row>7</xdr:row>
      <xdr:rowOff>66674</xdr:rowOff>
    </xdr:from>
    <xdr:to>
      <xdr:col>8</xdr:col>
      <xdr:colOff>533400</xdr:colOff>
      <xdr:row>16</xdr:row>
      <xdr:rowOff>38100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5467350" y="1400174"/>
          <a:ext cx="1320800" cy="1685926"/>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latin typeface="AR CENA" panose="02000000000000000000" pitchFamily="2" charset="0"/>
            </a:rPr>
            <a:t>RATIO OF RURAL TO URBAN SEX RATIO IN UNION TERRITORIES</a:t>
          </a:r>
        </a:p>
        <a:p>
          <a:r>
            <a:rPr lang="en-IN" sz="1200">
              <a:solidFill>
                <a:schemeClr val="bg1"/>
              </a:solidFill>
              <a:latin typeface="AR CENA" panose="02000000000000000000" pitchFamily="2" charset="0"/>
            </a:rPr>
            <a:t>PIVOT TABLE</a:t>
          </a:r>
        </a:p>
      </xdr:txBody>
    </xdr:sp>
    <xdr:clientData/>
  </xdr:twoCellAnchor>
  <xdr:twoCellAnchor>
    <xdr:from>
      <xdr:col>1</xdr:col>
      <xdr:colOff>22225</xdr:colOff>
      <xdr:row>12</xdr:row>
      <xdr:rowOff>127000</xdr:rowOff>
    </xdr:from>
    <xdr:to>
      <xdr:col>2</xdr:col>
      <xdr:colOff>739775</xdr:colOff>
      <xdr:row>15</xdr:row>
      <xdr:rowOff>117475</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765175" y="2413000"/>
          <a:ext cx="1504950" cy="561975"/>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aseline="0">
              <a:solidFill>
                <a:schemeClr val="bg1"/>
              </a:solidFill>
              <a:latin typeface="AR CENA" panose="02000000000000000000" pitchFamily="2" charset="0"/>
            </a:rPr>
            <a:t>DASHBOARD</a:t>
          </a:r>
        </a:p>
      </xdr:txBody>
    </xdr:sp>
    <xdr:clientData/>
  </xdr:twoCellAnchor>
  <xdr:twoCellAnchor>
    <xdr:from>
      <xdr:col>4</xdr:col>
      <xdr:colOff>387350</xdr:colOff>
      <xdr:row>21</xdr:row>
      <xdr:rowOff>98425</xdr:rowOff>
    </xdr:from>
    <xdr:to>
      <xdr:col>6</xdr:col>
      <xdr:colOff>82550</xdr:colOff>
      <xdr:row>27</xdr:row>
      <xdr:rowOff>52705</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3492500" y="4098925"/>
          <a:ext cx="1270000" cy="1097280"/>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solidFill>
                <a:schemeClr val="bg1"/>
              </a:solidFill>
              <a:latin typeface="AR CENA" panose="02000000000000000000" pitchFamily="2" charset="0"/>
            </a:rPr>
            <a:t>CHILD SEX RATIO VS POPULATION SEX RATIO IN MAJOR STATES</a:t>
          </a:r>
          <a:r>
            <a:rPr lang="en-IN" sz="1200" baseline="0">
              <a:solidFill>
                <a:schemeClr val="bg1"/>
              </a:solidFill>
              <a:latin typeface="AR CENA" panose="02000000000000000000" pitchFamily="2" charset="0"/>
            </a:rPr>
            <a:t> OF INDIA</a:t>
          </a:r>
          <a:endParaRPr lang="en-IN" sz="1200">
            <a:solidFill>
              <a:schemeClr val="bg1"/>
            </a:solidFill>
            <a:latin typeface="AR CENA" panose="02000000000000000000" pitchFamily="2" charset="0"/>
          </a:endParaRPr>
        </a:p>
      </xdr:txBody>
    </xdr:sp>
    <xdr:clientData/>
  </xdr:twoCellAnchor>
  <xdr:twoCellAnchor>
    <xdr:from>
      <xdr:col>5</xdr:col>
      <xdr:colOff>800100</xdr:colOff>
      <xdr:row>4</xdr:row>
      <xdr:rowOff>47625</xdr:rowOff>
    </xdr:from>
    <xdr:to>
      <xdr:col>10</xdr:col>
      <xdr:colOff>403860</xdr:colOff>
      <xdr:row>6</xdr:row>
      <xdr:rowOff>104775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4792980" y="809625"/>
          <a:ext cx="3642360" cy="438150"/>
        </a:xfrm>
        <a:prstGeom prst="rect">
          <a:avLst/>
        </a:prstGeom>
        <a:solidFill>
          <a:schemeClr val="tx1">
            <a:lumMod val="95000"/>
            <a:lumOff val="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2400"/>
            <a:t>  </a:t>
          </a:r>
          <a:r>
            <a:rPr lang="en-IN" sz="2400" u="sng">
              <a:solidFill>
                <a:schemeClr val="accent6">
                  <a:lumMod val="75000"/>
                </a:schemeClr>
              </a:solidFill>
              <a:latin typeface="AR CENA" panose="02000000000000000000" pitchFamily="2" charset="0"/>
            </a:rPr>
            <a:t>THE CONCLUSIONS</a:t>
          </a:r>
          <a:r>
            <a:rPr lang="en-IN" sz="2800" u="sng">
              <a:solidFill>
                <a:schemeClr val="accent6">
                  <a:lumMod val="75000"/>
                </a:schemeClr>
              </a:solidFill>
              <a:latin typeface="AR CENA" panose="02000000000000000000" pitchFamily="2" charset="0"/>
            </a:rPr>
            <a:t>:</a:t>
          </a:r>
        </a:p>
      </xdr:txBody>
    </xdr:sp>
    <xdr:clientData/>
  </xdr:twoCellAnchor>
  <xdr:twoCellAnchor>
    <xdr:from>
      <xdr:col>9</xdr:col>
      <xdr:colOff>209550</xdr:colOff>
      <xdr:row>7</xdr:row>
      <xdr:rowOff>76198</xdr:rowOff>
    </xdr:from>
    <xdr:to>
      <xdr:col>11</xdr:col>
      <xdr:colOff>270510</xdr:colOff>
      <xdr:row>19</xdr:row>
      <xdr:rowOff>82549</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7251700" y="1409698"/>
          <a:ext cx="1635760" cy="2292351"/>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200">
              <a:solidFill>
                <a:schemeClr val="bg1"/>
              </a:solidFill>
              <a:effectLst/>
              <a:latin typeface="AR CENA" panose="02000000000000000000" pitchFamily="2" charset="0"/>
              <a:ea typeface="+mn-ea"/>
              <a:cs typeface="+mn-cs"/>
            </a:rPr>
            <a:t>CORRELATION BETWEEN DECADAL</a:t>
          </a:r>
          <a:r>
            <a:rPr lang="en-IN" sz="1200" baseline="0">
              <a:solidFill>
                <a:schemeClr val="bg1"/>
              </a:solidFill>
              <a:effectLst/>
              <a:latin typeface="AR CENA" panose="02000000000000000000" pitchFamily="2" charset="0"/>
              <a:ea typeface="+mn-ea"/>
              <a:cs typeface="+mn-cs"/>
            </a:rPr>
            <a:t> GROWTH </a:t>
          </a:r>
          <a:r>
            <a:rPr lang="en-IN" sz="1200">
              <a:solidFill>
                <a:schemeClr val="bg1"/>
              </a:solidFill>
              <a:effectLst/>
              <a:latin typeface="AR CENA" panose="02000000000000000000" pitchFamily="2" charset="0"/>
              <a:ea typeface="+mn-ea"/>
              <a:cs typeface="+mn-cs"/>
            </a:rPr>
            <a:t>RATE AND  SEX RATIO USING SPEARMAN'S CORRELATION COEFFICIENT PIVOT TABLE</a:t>
          </a:r>
          <a:endParaRPr lang="en-IN" sz="1200">
            <a:solidFill>
              <a:schemeClr val="bg1"/>
            </a:solidFill>
            <a:effectLst/>
            <a:latin typeface="AR CENA" panose="02000000000000000000" pitchFamily="2" charset="0"/>
          </a:endParaRPr>
        </a:p>
        <a:p>
          <a:endParaRPr lang="en-IN" sz="1200">
            <a:solidFill>
              <a:schemeClr val="bg1"/>
            </a:solidFill>
            <a:latin typeface="AR CENA" panose="02000000000000000000"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342901</xdr:colOff>
      <xdr:row>1</xdr:row>
      <xdr:rowOff>76200</xdr:rowOff>
    </xdr:from>
    <xdr:to>
      <xdr:col>12</xdr:col>
      <xdr:colOff>533400</xdr:colOff>
      <xdr:row>7</xdr:row>
      <xdr:rowOff>142876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3573781" y="266700"/>
          <a:ext cx="6652259" cy="1209676"/>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u="none">
              <a:latin typeface="AR CENA" panose="02000000000000000000" pitchFamily="2" charset="0"/>
            </a:rPr>
            <a:t>       </a:t>
          </a:r>
          <a:r>
            <a:rPr lang="en-IN" sz="2400" u="dbl">
              <a:latin typeface="AR CENA" panose="02000000000000000000" pitchFamily="2" charset="0"/>
            </a:rPr>
            <a:t>INTRODUCTION</a:t>
          </a:r>
          <a:r>
            <a:rPr lang="en-IN" sz="2400" u="dbl" baseline="0">
              <a:latin typeface="AR CENA" panose="02000000000000000000" pitchFamily="2" charset="0"/>
            </a:rPr>
            <a:t> TO THE PROJECT:</a:t>
          </a:r>
        </a:p>
        <a:p>
          <a:r>
            <a:rPr lang="en-IN" sz="2400" u="none">
              <a:latin typeface="AR CENA" panose="02000000000000000000" pitchFamily="2" charset="0"/>
            </a:rPr>
            <a:t>                 </a:t>
          </a:r>
          <a:r>
            <a:rPr lang="en-IN" sz="2400" u="sng">
              <a:solidFill>
                <a:schemeClr val="accent6">
                  <a:lumMod val="75000"/>
                </a:schemeClr>
              </a:solidFill>
              <a:latin typeface="AR CENA" panose="02000000000000000000" pitchFamily="2" charset="0"/>
            </a:rPr>
            <a:t>SEX RATIO</a:t>
          </a:r>
          <a:r>
            <a:rPr lang="en-IN" sz="2400" u="sng" baseline="0">
              <a:solidFill>
                <a:schemeClr val="accent6">
                  <a:lumMod val="75000"/>
                </a:schemeClr>
              </a:solidFill>
              <a:latin typeface="AR CENA" panose="02000000000000000000" pitchFamily="2" charset="0"/>
            </a:rPr>
            <a:t> OF INDIA</a:t>
          </a:r>
        </a:p>
        <a:p>
          <a:r>
            <a:rPr lang="en-IN" sz="2400" u="none" baseline="0">
              <a:solidFill>
                <a:schemeClr val="accent6">
                  <a:lumMod val="75000"/>
                </a:schemeClr>
              </a:solidFill>
              <a:latin typeface="AR CENA" panose="02000000000000000000" pitchFamily="2" charset="0"/>
            </a:rPr>
            <a:t>                      </a:t>
          </a:r>
          <a:r>
            <a:rPr lang="en-IN" sz="2400" u="sng" baseline="0">
              <a:solidFill>
                <a:schemeClr val="accent6">
                  <a:lumMod val="75000"/>
                </a:schemeClr>
              </a:solidFill>
              <a:latin typeface="AR CENA" panose="02000000000000000000" pitchFamily="2" charset="0"/>
            </a:rPr>
            <a:t>2001 and 2011</a:t>
          </a:r>
          <a:endParaRPr lang="en-IN" sz="2400" u="sng">
            <a:solidFill>
              <a:schemeClr val="accent6">
                <a:lumMod val="75000"/>
              </a:schemeClr>
            </a:solidFill>
            <a:latin typeface="AR CENA" panose="02000000000000000000" pitchFamily="2" charset="0"/>
          </a:endParaRPr>
        </a:p>
      </xdr:txBody>
    </xdr:sp>
    <xdr:clientData/>
  </xdr:twoCellAnchor>
  <xdr:twoCellAnchor>
    <xdr:from>
      <xdr:col>0</xdr:col>
      <xdr:colOff>495300</xdr:colOff>
      <xdr:row>8</xdr:row>
      <xdr:rowOff>28575</xdr:rowOff>
    </xdr:from>
    <xdr:to>
      <xdr:col>13</xdr:col>
      <xdr:colOff>581025</xdr:colOff>
      <xdr:row>35</xdr:row>
      <xdr:rowOff>12701</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495300" y="1552575"/>
          <a:ext cx="10321925" cy="5127626"/>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a:solidFill>
                <a:schemeClr val="accent6">
                  <a:lumMod val="50000"/>
                </a:schemeClr>
              </a:solidFill>
              <a:latin typeface="AR CENA" panose="02000000000000000000" pitchFamily="2" charset="0"/>
            </a:rPr>
            <a:t>1.) The data has been taken</a:t>
          </a:r>
          <a:r>
            <a:rPr lang="en-IN" sz="1600" baseline="0">
              <a:solidFill>
                <a:schemeClr val="accent6">
                  <a:lumMod val="50000"/>
                </a:schemeClr>
              </a:solidFill>
              <a:latin typeface="AR CENA" panose="02000000000000000000" pitchFamily="2" charset="0"/>
            </a:rPr>
            <a:t> from Data.gov.in.</a:t>
          </a:r>
          <a:r>
            <a:rPr lang="en-IN" sz="1600" baseline="0">
              <a:latin typeface="AR CENA" panose="02000000000000000000" pitchFamily="2" charset="0"/>
            </a:rPr>
            <a:t> </a:t>
          </a:r>
        </a:p>
        <a:p>
          <a:r>
            <a:rPr lang="en-IN" sz="1100" baseline="0"/>
            <a:t>                          </a:t>
          </a:r>
        </a:p>
        <a:p>
          <a:r>
            <a:rPr lang="en-IN" sz="1600" baseline="0">
              <a:latin typeface="AR CENA" panose="02000000000000000000" pitchFamily="2" charset="0"/>
            </a:rPr>
            <a:t>                                              </a:t>
          </a:r>
          <a:r>
            <a:rPr lang="en-IN" sz="2000" u="sng" baseline="0">
              <a:solidFill>
                <a:srgbClr val="FF0000"/>
              </a:solidFill>
              <a:latin typeface="AR CENA" panose="02000000000000000000" pitchFamily="2" charset="0"/>
            </a:rPr>
            <a:t>What is Data.gov.in?</a:t>
          </a:r>
        </a:p>
        <a:p>
          <a:r>
            <a:rPr lang="en-IN" sz="1600" baseline="0">
              <a:latin typeface="AR CENA" panose="02000000000000000000" pitchFamily="2" charset="0"/>
            </a:rPr>
            <a:t> </a:t>
          </a:r>
          <a:r>
            <a:rPr lang="en-IN" sz="1600" b="1" i="0">
              <a:solidFill>
                <a:schemeClr val="accent1">
                  <a:lumMod val="50000"/>
                </a:schemeClr>
              </a:solidFill>
              <a:effectLst/>
              <a:latin typeface="AR CENA" panose="02000000000000000000" pitchFamily="2" charset="0"/>
              <a:ea typeface="+mn-ea"/>
              <a:cs typeface="+mn-cs"/>
            </a:rPr>
            <a:t>Open Government Data (OGD) Platform India</a:t>
          </a:r>
          <a:r>
            <a:rPr lang="en-IN" sz="1600" b="0" i="0" u="none" strike="noStrike" baseline="30000">
              <a:solidFill>
                <a:schemeClr val="accent1">
                  <a:lumMod val="50000"/>
                </a:schemeClr>
              </a:solidFill>
              <a:effectLst/>
              <a:latin typeface="AR CENA" panose="02000000000000000000" pitchFamily="2" charset="0"/>
              <a:ea typeface="+mn-ea"/>
              <a:cs typeface="+mn-cs"/>
            </a:rPr>
            <a:t> </a:t>
          </a:r>
          <a:r>
            <a:rPr lang="en-IN" sz="1600" b="0" i="0">
              <a:solidFill>
                <a:schemeClr val="accent1">
                  <a:lumMod val="50000"/>
                </a:schemeClr>
              </a:solidFill>
              <a:effectLst/>
              <a:latin typeface="AR CENA" panose="02000000000000000000" pitchFamily="2" charset="0"/>
              <a:ea typeface="+mn-ea"/>
              <a:cs typeface="+mn-cs"/>
            </a:rPr>
            <a:t>or </a:t>
          </a:r>
          <a:r>
            <a:rPr lang="en-IN" sz="1600" b="1" i="0">
              <a:solidFill>
                <a:schemeClr val="accent1">
                  <a:lumMod val="50000"/>
                </a:schemeClr>
              </a:solidFill>
              <a:effectLst/>
              <a:latin typeface="AR CENA" panose="02000000000000000000" pitchFamily="2" charset="0"/>
              <a:ea typeface="+mn-ea"/>
              <a:cs typeface="+mn-cs"/>
            </a:rPr>
            <a:t>data.gov.in</a:t>
          </a:r>
          <a:r>
            <a:rPr lang="en-IN" sz="1600" b="0" i="0">
              <a:solidFill>
                <a:schemeClr val="accent1">
                  <a:lumMod val="50000"/>
                </a:schemeClr>
              </a:solidFill>
              <a:effectLst/>
              <a:latin typeface="AR CENA" panose="02000000000000000000" pitchFamily="2" charset="0"/>
              <a:ea typeface="+mn-ea"/>
              <a:cs typeface="+mn-cs"/>
            </a:rPr>
            <a:t> is a platform for supporting Open</a:t>
          </a:r>
          <a:r>
            <a:rPr lang="en-IN" sz="1600" b="0" i="0" baseline="0">
              <a:solidFill>
                <a:schemeClr val="accent1">
                  <a:lumMod val="50000"/>
                </a:schemeClr>
              </a:solidFill>
              <a:effectLst/>
              <a:latin typeface="AR CENA" panose="02000000000000000000" pitchFamily="2" charset="0"/>
              <a:ea typeface="+mn-ea"/>
              <a:cs typeface="+mn-cs"/>
            </a:rPr>
            <a:t> Data</a:t>
          </a:r>
          <a:r>
            <a:rPr lang="en-IN" sz="1600" b="0" i="0">
              <a:solidFill>
                <a:schemeClr val="accent1">
                  <a:lumMod val="50000"/>
                </a:schemeClr>
              </a:solidFill>
              <a:effectLst/>
              <a:latin typeface="AR CENA" panose="02000000000000000000" pitchFamily="2" charset="0"/>
              <a:ea typeface="+mn-ea"/>
              <a:cs typeface="+mn-cs"/>
            </a:rPr>
            <a:t> initiative of </a:t>
          </a:r>
          <a:r>
            <a:rPr lang="en-IN" sz="1600" b="0" i="0" u="none" strike="noStrike">
              <a:solidFill>
                <a:schemeClr val="accent1">
                  <a:lumMod val="50000"/>
                </a:schemeClr>
              </a:solidFill>
              <a:effectLst/>
              <a:latin typeface="AR CENA" panose="02000000000000000000" pitchFamily="2" charset="0"/>
              <a:ea typeface="+mn-ea"/>
              <a:cs typeface="+mn-cs"/>
            </a:rPr>
            <a:t>Government</a:t>
          </a:r>
          <a:r>
            <a:rPr lang="en-IN" sz="1600" b="0" i="0" u="none" strike="noStrike" baseline="0">
              <a:solidFill>
                <a:schemeClr val="accent1">
                  <a:lumMod val="50000"/>
                </a:schemeClr>
              </a:solidFill>
              <a:effectLst/>
              <a:latin typeface="AR CENA" panose="02000000000000000000" pitchFamily="2" charset="0"/>
              <a:ea typeface="+mn-ea"/>
              <a:cs typeface="+mn-cs"/>
            </a:rPr>
            <a:t> of India.</a:t>
          </a:r>
          <a:r>
            <a:rPr lang="en-IN" sz="1600" b="0" i="0" u="none">
              <a:solidFill>
                <a:schemeClr val="accent1">
                  <a:lumMod val="50000"/>
                </a:schemeClr>
              </a:solidFill>
              <a:effectLst/>
              <a:latin typeface="AR CENA" panose="02000000000000000000" pitchFamily="2" charset="0"/>
              <a:ea typeface="+mn-ea"/>
              <a:cs typeface="+mn-cs"/>
            </a:rPr>
            <a:t> </a:t>
          </a:r>
          <a:r>
            <a:rPr lang="en-IN" sz="1600" b="0" i="0">
              <a:solidFill>
                <a:schemeClr val="accent1">
                  <a:lumMod val="50000"/>
                </a:schemeClr>
              </a:solidFill>
              <a:effectLst/>
              <a:latin typeface="AR CENA" panose="02000000000000000000" pitchFamily="2" charset="0"/>
              <a:ea typeface="+mn-ea"/>
              <a:cs typeface="+mn-cs"/>
            </a:rPr>
            <a:t>This portal is a single-point access to datasets, documents, services, tools and applications published by ministries, departments and organisations of the </a:t>
          </a:r>
          <a:r>
            <a:rPr lang="en-IN" sz="1600" b="0" i="0" u="none" strike="noStrike">
              <a:solidFill>
                <a:schemeClr val="accent1">
                  <a:lumMod val="50000"/>
                </a:schemeClr>
              </a:solidFill>
              <a:effectLst/>
              <a:latin typeface="AR CENA" panose="02000000000000000000" pitchFamily="2" charset="0"/>
              <a:ea typeface="+mn-ea"/>
              <a:cs typeface="+mn-cs"/>
            </a:rPr>
            <a:t>Government</a:t>
          </a:r>
          <a:r>
            <a:rPr lang="en-IN" sz="1600" b="0" i="0" u="none" strike="noStrike" baseline="0">
              <a:solidFill>
                <a:schemeClr val="accent1">
                  <a:lumMod val="50000"/>
                </a:schemeClr>
              </a:solidFill>
              <a:effectLst/>
              <a:latin typeface="AR CENA" panose="02000000000000000000" pitchFamily="2" charset="0"/>
              <a:ea typeface="+mn-ea"/>
              <a:cs typeface="+mn-cs"/>
            </a:rPr>
            <a:t> of India</a:t>
          </a:r>
          <a:r>
            <a:rPr lang="en-IN" sz="1600" b="0" i="0">
              <a:solidFill>
                <a:schemeClr val="accent1">
                  <a:lumMod val="50000"/>
                </a:schemeClr>
              </a:solidFill>
              <a:effectLst/>
              <a:latin typeface="AR CENA" panose="02000000000000000000" pitchFamily="2" charset="0"/>
              <a:ea typeface="+mn-ea"/>
              <a:cs typeface="+mn-cs"/>
            </a:rPr>
            <a:t>. It combines and expands the best features of India government's </a:t>
          </a:r>
          <a:r>
            <a:rPr lang="en-IN" sz="1600" b="0" i="0" u="none" strike="noStrike">
              <a:solidFill>
                <a:schemeClr val="accent1">
                  <a:lumMod val="50000"/>
                </a:schemeClr>
              </a:solidFill>
              <a:effectLst/>
              <a:latin typeface="AR CENA" panose="02000000000000000000" pitchFamily="2" charset="0"/>
              <a:ea typeface="+mn-ea"/>
              <a:cs typeface="+mn-cs"/>
            </a:rPr>
            <a:t>India.gov.in</a:t>
          </a:r>
          <a:r>
            <a:rPr lang="en-IN" sz="1600" b="0" i="0" u="none" strike="noStrike" baseline="0">
              <a:solidFill>
                <a:schemeClr val="accent1">
                  <a:lumMod val="50000"/>
                </a:schemeClr>
              </a:solidFill>
              <a:effectLst/>
              <a:latin typeface="AR CENA" panose="02000000000000000000" pitchFamily="2" charset="0"/>
              <a:ea typeface="+mn-ea"/>
              <a:cs typeface="+mn-cs"/>
            </a:rPr>
            <a:t> </a:t>
          </a:r>
          <a:r>
            <a:rPr lang="en-IN" sz="1600" b="0" i="0">
              <a:solidFill>
                <a:schemeClr val="accent1">
                  <a:lumMod val="50000"/>
                </a:schemeClr>
              </a:solidFill>
              <a:effectLst/>
              <a:latin typeface="AR CENA" panose="02000000000000000000" pitchFamily="2" charset="0"/>
              <a:ea typeface="+mn-ea"/>
              <a:cs typeface="+mn-cs"/>
            </a:rPr>
            <a:t>and the U.S.</a:t>
          </a:r>
          <a:r>
            <a:rPr lang="en-IN" sz="1600" b="0" i="0" baseline="0">
              <a:solidFill>
                <a:schemeClr val="accent1">
                  <a:lumMod val="50000"/>
                </a:schemeClr>
              </a:solidFill>
              <a:effectLst/>
              <a:latin typeface="AR CENA" panose="02000000000000000000" pitchFamily="2" charset="0"/>
              <a:ea typeface="+mn-ea"/>
              <a:cs typeface="+mn-cs"/>
            </a:rPr>
            <a:t> Government's data.gov </a:t>
          </a:r>
          <a:r>
            <a:rPr lang="en-IN" sz="1600" b="0" i="0">
              <a:solidFill>
                <a:schemeClr val="accent1">
                  <a:lumMod val="50000"/>
                </a:schemeClr>
              </a:solidFill>
              <a:effectLst/>
              <a:latin typeface="AR CENA" panose="02000000000000000000" pitchFamily="2" charset="0"/>
              <a:ea typeface="+mn-ea"/>
              <a:cs typeface="+mn-cs"/>
            </a:rPr>
            <a:t>project.</a:t>
          </a:r>
          <a:endParaRPr lang="en-IN" sz="1600" baseline="0">
            <a:solidFill>
              <a:schemeClr val="accent1">
                <a:lumMod val="50000"/>
              </a:schemeClr>
            </a:solidFill>
            <a:latin typeface="AR CENA" panose="02000000000000000000" pitchFamily="2" charset="0"/>
          </a:endParaRPr>
        </a:p>
        <a:p>
          <a:endParaRPr lang="en-IN" sz="1600" baseline="0">
            <a:solidFill>
              <a:schemeClr val="accent1">
                <a:lumMod val="50000"/>
              </a:schemeClr>
            </a:solidFill>
            <a:latin typeface="AR CENA" panose="02000000000000000000" pitchFamily="2" charset="0"/>
          </a:endParaRPr>
        </a:p>
        <a:p>
          <a:r>
            <a:rPr lang="en-IN" sz="1600" baseline="0">
              <a:solidFill>
                <a:schemeClr val="accent6">
                  <a:lumMod val="50000"/>
                </a:schemeClr>
              </a:solidFill>
              <a:latin typeface="AR CENA" panose="02000000000000000000" pitchFamily="2" charset="0"/>
            </a:rPr>
            <a:t>2.)The required datasets are Literacy Rate of India (2001-11), Child sex ratio(2001-11) and Population sex ratio based on </a:t>
          </a:r>
          <a:r>
            <a:rPr lang="en-IN" sz="1600" baseline="0">
              <a:solidFill>
                <a:schemeClr val="accent6">
                  <a:lumMod val="50000"/>
                </a:schemeClr>
              </a:solidFill>
              <a:effectLst/>
              <a:latin typeface="AR CENA" panose="02000000000000000000" pitchFamily="2" charset="0"/>
              <a:ea typeface="+mn-ea"/>
              <a:cs typeface="+mn-cs"/>
            </a:rPr>
            <a:t>residence(2001-11).</a:t>
          </a:r>
          <a:endParaRPr lang="en-IN" sz="1600">
            <a:solidFill>
              <a:schemeClr val="accent6">
                <a:lumMod val="50000"/>
              </a:schemeClr>
            </a:solidFill>
            <a:effectLst/>
            <a:latin typeface="AR CENA" panose="02000000000000000000" pitchFamily="2" charset="0"/>
          </a:endParaRPr>
        </a:p>
        <a:p>
          <a:r>
            <a:rPr lang="en-IN" sz="1600">
              <a:solidFill>
                <a:schemeClr val="accent6">
                  <a:lumMod val="50000"/>
                </a:schemeClr>
              </a:solidFill>
              <a:latin typeface="AR CENA" panose="02000000000000000000" pitchFamily="2" charset="0"/>
            </a:rPr>
            <a:t>3.)We</a:t>
          </a:r>
          <a:r>
            <a:rPr lang="en-IN" sz="1600" baseline="0">
              <a:solidFill>
                <a:schemeClr val="accent6">
                  <a:lumMod val="50000"/>
                </a:schemeClr>
              </a:solidFill>
              <a:latin typeface="AR CENA" panose="02000000000000000000" pitchFamily="2" charset="0"/>
            </a:rPr>
            <a:t> will try to identify the trends in the number of females per 1000 males in India in the year 2001 and 2011 and take note of the variations over the decade.</a:t>
          </a:r>
        </a:p>
        <a:p>
          <a:r>
            <a:rPr lang="en-IN" sz="1600" baseline="0">
              <a:solidFill>
                <a:schemeClr val="accent6">
                  <a:lumMod val="50000"/>
                </a:schemeClr>
              </a:solidFill>
              <a:latin typeface="AR CENA" panose="02000000000000000000" pitchFamily="2" charset="0"/>
            </a:rPr>
            <a:t>4.)We will try to identify the difference between Child Sex Ratio and Population Sex Ratio and identify the variations to see if the number of females per 1000 actually decrease/increase as their age increases.</a:t>
          </a:r>
        </a:p>
        <a:p>
          <a:r>
            <a:rPr lang="en-IN" sz="1600" baseline="0">
              <a:solidFill>
                <a:schemeClr val="accent6">
                  <a:lumMod val="50000"/>
                </a:schemeClr>
              </a:solidFill>
              <a:latin typeface="AR CENA" panose="02000000000000000000" pitchFamily="2" charset="0"/>
            </a:rPr>
            <a:t>5.) We will identify the relative patterns in the Sex Ratio in the Union Territories of India.</a:t>
          </a:r>
        </a:p>
        <a:p>
          <a:r>
            <a:rPr lang="en-IN" sz="1600" baseline="0">
              <a:solidFill>
                <a:schemeClr val="accent6">
                  <a:lumMod val="50000"/>
                </a:schemeClr>
              </a:solidFill>
              <a:latin typeface="AR CENA" panose="02000000000000000000" pitchFamily="2" charset="0"/>
            </a:rPr>
            <a:t>6.)We will also find a correlation, if it exists between the Literacy Rate and Sex Ratio of India.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154781</xdr:colOff>
      <xdr:row>20</xdr:row>
      <xdr:rowOff>188165</xdr:rowOff>
    </xdr:from>
    <xdr:to>
      <xdr:col>12</xdr:col>
      <xdr:colOff>324871</xdr:colOff>
      <xdr:row>39</xdr:row>
      <xdr:rowOff>95250</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238125</xdr:colOff>
      <xdr:row>42</xdr:row>
      <xdr:rowOff>23311</xdr:rowOff>
    </xdr:from>
    <xdr:to>
      <xdr:col>12</xdr:col>
      <xdr:colOff>428625</xdr:colOff>
      <xdr:row>61</xdr:row>
      <xdr:rowOff>23310</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174288</xdr:colOff>
      <xdr:row>63</xdr:row>
      <xdr:rowOff>145516</xdr:rowOff>
    </xdr:from>
    <xdr:to>
      <xdr:col>12</xdr:col>
      <xdr:colOff>431872</xdr:colOff>
      <xdr:row>83</xdr:row>
      <xdr:rowOff>37577</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166687</xdr:colOff>
      <xdr:row>85</xdr:row>
      <xdr:rowOff>105320</xdr:rowOff>
    </xdr:from>
    <xdr:to>
      <xdr:col>12</xdr:col>
      <xdr:colOff>418498</xdr:colOff>
      <xdr:row>108</xdr:row>
      <xdr:rowOff>33628</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4</xdr:row>
      <xdr:rowOff>0</xdr:rowOff>
    </xdr:from>
    <xdr:to>
      <xdr:col>2</xdr:col>
      <xdr:colOff>342900</xdr:colOff>
      <xdr:row>18</xdr:row>
      <xdr:rowOff>31749</xdr:rowOff>
    </xdr:to>
    <mc:AlternateContent xmlns:mc="http://schemas.openxmlformats.org/markup-compatibility/2006" xmlns:a14="http://schemas.microsoft.com/office/drawing/2010/main">
      <mc:Choice Requires="a14">
        <xdr:graphicFrame macro="">
          <xdr:nvGraphicFramePr>
            <xdr:cNvPr id="2" name="ZONES">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ZONES"/>
            </a:graphicData>
          </a:graphic>
        </xdr:graphicFrame>
      </mc:Choice>
      <mc:Fallback xmlns="">
        <xdr:sp macro="" textlink="">
          <xdr:nvSpPr>
            <xdr:cNvPr id="0" name=""/>
            <xdr:cNvSpPr>
              <a:spLocks noTextEdit="1"/>
            </xdr:cNvSpPr>
          </xdr:nvSpPr>
          <xdr:spPr>
            <a:xfrm>
              <a:off x="0" y="1661338"/>
              <a:ext cx="2026388" cy="46883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333374</xdr:colOff>
      <xdr:row>3</xdr:row>
      <xdr:rowOff>127619</xdr:rowOff>
    </xdr:from>
    <xdr:to>
      <xdr:col>12</xdr:col>
      <xdr:colOff>360851</xdr:colOff>
      <xdr:row>18</xdr:row>
      <xdr:rowOff>15875</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xdr:colOff>
      <xdr:row>149</xdr:row>
      <xdr:rowOff>69272</xdr:rowOff>
    </xdr:from>
    <xdr:to>
      <xdr:col>17</xdr:col>
      <xdr:colOff>911794</xdr:colOff>
      <xdr:row>159</xdr:row>
      <xdr:rowOff>97692</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10811281" y="33805682"/>
          <a:ext cx="6659359" cy="2177651"/>
        </a:xfrm>
        <a:prstGeom prst="rect">
          <a:avLst/>
        </a:prstGeom>
        <a:solidFill>
          <a:schemeClr val="bg2">
            <a:lumMod val="2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u="sng">
              <a:solidFill>
                <a:schemeClr val="bg1"/>
              </a:solidFill>
              <a:latin typeface="AR CENA" panose="02000000000000000000" pitchFamily="2" charset="0"/>
            </a:rPr>
            <a:t>CONCLUSION:</a:t>
          </a:r>
        </a:p>
        <a:p>
          <a:r>
            <a:rPr lang="en-IN" sz="1800">
              <a:solidFill>
                <a:schemeClr val="bg1"/>
              </a:solidFill>
              <a:latin typeface="AR CENA" panose="02000000000000000000" pitchFamily="2" charset="0"/>
            </a:rPr>
            <a:t>MOST OF THE STATES HAVE THE SPEARMAN'S COEFFICIENT VALUE LESSER</a:t>
          </a:r>
          <a:r>
            <a:rPr lang="en-IN" sz="1800" baseline="0">
              <a:solidFill>
                <a:schemeClr val="bg1"/>
              </a:solidFill>
              <a:latin typeface="AR CENA" panose="02000000000000000000" pitchFamily="2" charset="0"/>
            </a:rPr>
            <a:t> THAN 0 WHICH INDICATES THAT THE INCREASE IN LITERACY RATE HAS A VERY WEAK CORRELATION WITH THE INCREASE IN THE NUMBER OF FEMALES PER 1000 MALES</a:t>
          </a:r>
          <a:r>
            <a:rPr lang="en-IN" sz="1100" baseline="0"/>
            <a:t>.</a:t>
          </a:r>
          <a:endParaRPr lang="en-IN" sz="1100"/>
        </a:p>
      </xdr:txBody>
    </xdr:sp>
    <xdr:clientData/>
  </xdr:twoCellAnchor>
  <xdr:twoCellAnchor>
    <xdr:from>
      <xdr:col>2</xdr:col>
      <xdr:colOff>277812</xdr:colOff>
      <xdr:row>110</xdr:row>
      <xdr:rowOff>95250</xdr:rowOff>
    </xdr:from>
    <xdr:to>
      <xdr:col>12</xdr:col>
      <xdr:colOff>515937</xdr:colOff>
      <xdr:row>133</xdr:row>
      <xdr:rowOff>20307</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285749</xdr:colOff>
      <xdr:row>136</xdr:row>
      <xdr:rowOff>121226</xdr:rowOff>
    </xdr:from>
    <xdr:to>
      <xdr:col>12</xdr:col>
      <xdr:colOff>495298</xdr:colOff>
      <xdr:row>158</xdr:row>
      <xdr:rowOff>125555</xdr:rowOff>
    </xdr:to>
    <xdr:graphicFrame macro="">
      <xdr:nvGraphicFramePr>
        <xdr:cNvPr id="18" name="Chart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23812</xdr:colOff>
      <xdr:row>110</xdr:row>
      <xdr:rowOff>95249</xdr:rowOff>
    </xdr:from>
    <xdr:to>
      <xdr:col>2</xdr:col>
      <xdr:colOff>238124</xdr:colOff>
      <xdr:row>133</xdr:row>
      <xdr:rowOff>13606</xdr:rowOff>
    </xdr:to>
    <mc:AlternateContent xmlns:mc="http://schemas.openxmlformats.org/markup-compatibility/2006" xmlns:a14="http://schemas.microsoft.com/office/drawing/2010/main">
      <mc:Choice Requires="a14">
        <xdr:graphicFrame macro="">
          <xdr:nvGraphicFramePr>
            <xdr:cNvPr id="3" name="Sub-category">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23812" y="23187836"/>
              <a:ext cx="1897800" cy="56555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136</xdr:row>
      <xdr:rowOff>121227</xdr:rowOff>
    </xdr:from>
    <xdr:to>
      <xdr:col>2</xdr:col>
      <xdr:colOff>238125</xdr:colOff>
      <xdr:row>160</xdr:row>
      <xdr:rowOff>121227</xdr:rowOff>
    </xdr:to>
    <mc:AlternateContent xmlns:mc="http://schemas.openxmlformats.org/markup-compatibility/2006" xmlns:a14="http://schemas.microsoft.com/office/drawing/2010/main">
      <mc:Choice Requires="a14">
        <xdr:graphicFrame macro="">
          <xdr:nvGraphicFramePr>
            <xdr:cNvPr id="5" name="Sub-category 1">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0" y="29515820"/>
              <a:ext cx="1921613" cy="55156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19817</xdr:colOff>
      <xdr:row>85</xdr:row>
      <xdr:rowOff>127547</xdr:rowOff>
    </xdr:from>
    <xdr:to>
      <xdr:col>2</xdr:col>
      <xdr:colOff>142875</xdr:colOff>
      <xdr:row>108</xdr:row>
      <xdr:rowOff>29012</xdr:rowOff>
    </xdr:to>
    <mc:AlternateContent xmlns:mc="http://schemas.openxmlformats.org/markup-compatibility/2006" xmlns:a14="http://schemas.microsoft.com/office/drawing/2010/main">
      <mc:Choice Requires="a14">
        <xdr:graphicFrame macro="">
          <xdr:nvGraphicFramePr>
            <xdr:cNvPr id="9" name="Sub-category 3">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microsoft.com/office/drawing/2010/slicer">
              <sle:slicer xmlns:sle="http://schemas.microsoft.com/office/drawing/2010/slicer" name="Sub-category 3"/>
            </a:graphicData>
          </a:graphic>
        </xdr:graphicFrame>
      </mc:Choice>
      <mc:Fallback xmlns="">
        <xdr:sp macro="" textlink="">
          <xdr:nvSpPr>
            <xdr:cNvPr id="0" name=""/>
            <xdr:cNvSpPr>
              <a:spLocks noTextEdit="1"/>
            </xdr:cNvSpPr>
          </xdr:nvSpPr>
          <xdr:spPr>
            <a:xfrm>
              <a:off x="19817" y="18513012"/>
              <a:ext cx="1806546" cy="42320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42</xdr:row>
      <xdr:rowOff>43656</xdr:rowOff>
    </xdr:from>
    <xdr:to>
      <xdr:col>2</xdr:col>
      <xdr:colOff>178593</xdr:colOff>
      <xdr:row>61</xdr:row>
      <xdr:rowOff>43656</xdr:rowOff>
    </xdr:to>
    <mc:AlternateContent xmlns:mc="http://schemas.openxmlformats.org/markup-compatibility/2006" xmlns:a14="http://schemas.microsoft.com/office/drawing/2010/main">
      <mc:Choice Requires="a14">
        <xdr:graphicFrame macro="">
          <xdr:nvGraphicFramePr>
            <xdr:cNvPr id="12" name="ZONES 2">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ZONES 2"/>
            </a:graphicData>
          </a:graphic>
        </xdr:graphicFrame>
      </mc:Choice>
      <mc:Fallback xmlns="">
        <xdr:sp macro="" textlink="">
          <xdr:nvSpPr>
            <xdr:cNvPr id="0" name=""/>
            <xdr:cNvSpPr>
              <a:spLocks noTextEdit="1"/>
            </xdr:cNvSpPr>
          </xdr:nvSpPr>
          <xdr:spPr>
            <a:xfrm>
              <a:off x="0" y="10727531"/>
              <a:ext cx="1861343" cy="3619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63</xdr:row>
      <xdr:rowOff>140493</xdr:rowOff>
    </xdr:from>
    <xdr:to>
      <xdr:col>2</xdr:col>
      <xdr:colOff>161925</xdr:colOff>
      <xdr:row>83</xdr:row>
      <xdr:rowOff>47624</xdr:rowOff>
    </xdr:to>
    <mc:AlternateContent xmlns:mc="http://schemas.openxmlformats.org/markup-compatibility/2006" xmlns:a14="http://schemas.microsoft.com/office/drawing/2010/main">
      <mc:Choice Requires="a14">
        <xdr:graphicFrame macro="">
          <xdr:nvGraphicFramePr>
            <xdr:cNvPr id="13" name="Sub-category 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microsoft.com/office/drawing/2010/slicer">
              <sle:slicer xmlns:sle="http://schemas.microsoft.com/office/drawing/2010/slicer" name="Sub-category 2"/>
            </a:graphicData>
          </a:graphic>
        </xdr:graphicFrame>
      </mc:Choice>
      <mc:Fallback xmlns="">
        <xdr:sp macro="" textlink="">
          <xdr:nvSpPr>
            <xdr:cNvPr id="0" name=""/>
            <xdr:cNvSpPr>
              <a:spLocks noTextEdit="1"/>
            </xdr:cNvSpPr>
          </xdr:nvSpPr>
          <xdr:spPr>
            <a:xfrm>
              <a:off x="0" y="14383691"/>
              <a:ext cx="1845413" cy="36728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17463</xdr:colOff>
      <xdr:row>20</xdr:row>
      <xdr:rowOff>152400</xdr:rowOff>
    </xdr:from>
    <xdr:to>
      <xdr:col>2</xdr:col>
      <xdr:colOff>155575</xdr:colOff>
      <xdr:row>39</xdr:row>
      <xdr:rowOff>158750</xdr:rowOff>
    </xdr:to>
    <mc:AlternateContent xmlns:mc="http://schemas.openxmlformats.org/markup-compatibility/2006" xmlns:a14="http://schemas.microsoft.com/office/drawing/2010/main">
      <mc:Choice Requires="a14">
        <xdr:graphicFrame macro="">
          <xdr:nvGraphicFramePr>
            <xdr:cNvPr id="19" name="Sub-category 4">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0/slicer">
              <sle:slicer xmlns:sle="http://schemas.microsoft.com/office/drawing/2010/slicer" name="Sub-category 4"/>
            </a:graphicData>
          </a:graphic>
        </xdr:graphicFrame>
      </mc:Choice>
      <mc:Fallback xmlns="">
        <xdr:sp macro="" textlink="">
          <xdr:nvSpPr>
            <xdr:cNvPr id="0" name=""/>
            <xdr:cNvSpPr>
              <a:spLocks noTextEdit="1"/>
            </xdr:cNvSpPr>
          </xdr:nvSpPr>
          <xdr:spPr>
            <a:xfrm>
              <a:off x="17463" y="6645275"/>
              <a:ext cx="1820862" cy="36258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21</xdr:row>
      <xdr:rowOff>68384</xdr:rowOff>
    </xdr:from>
    <xdr:to>
      <xdr:col>6</xdr:col>
      <xdr:colOff>800100</xdr:colOff>
      <xdr:row>41</xdr:row>
      <xdr:rowOff>152399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66674</xdr:colOff>
      <xdr:row>16</xdr:row>
      <xdr:rowOff>195139</xdr:rowOff>
    </xdr:from>
    <xdr:to>
      <xdr:col>9</xdr:col>
      <xdr:colOff>175601</xdr:colOff>
      <xdr:row>31</xdr:row>
      <xdr:rowOff>276</xdr:rowOff>
    </xdr:to>
    <mc:AlternateContent xmlns:mc="http://schemas.openxmlformats.org/markup-compatibility/2006" xmlns:a14="http://schemas.microsoft.com/office/drawing/2010/main">
      <mc:Choice Requires="a14">
        <xdr:graphicFrame macro="">
          <xdr:nvGraphicFramePr>
            <xdr:cNvPr id="3" name="ZONES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ZONES 1"/>
            </a:graphicData>
          </a:graphic>
        </xdr:graphicFrame>
      </mc:Choice>
      <mc:Fallback xmlns="">
        <xdr:sp macro="" textlink="">
          <xdr:nvSpPr>
            <xdr:cNvPr id="0" name=""/>
            <xdr:cNvSpPr>
              <a:spLocks noTextEdit="1"/>
            </xdr:cNvSpPr>
          </xdr:nvSpPr>
          <xdr:spPr>
            <a:xfrm>
              <a:off x="9845674" y="3479750"/>
              <a:ext cx="1730619" cy="27353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95250</xdr:colOff>
      <xdr:row>0</xdr:row>
      <xdr:rowOff>142874</xdr:rowOff>
    </xdr:from>
    <xdr:to>
      <xdr:col>8</xdr:col>
      <xdr:colOff>724551</xdr:colOff>
      <xdr:row>4</xdr:row>
      <xdr:rowOff>130256</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95250" y="142874"/>
          <a:ext cx="11277763" cy="9154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u="sng">
              <a:solidFill>
                <a:schemeClr val="accent2">
                  <a:lumMod val="50000"/>
                </a:schemeClr>
              </a:solidFill>
              <a:latin typeface="AR CENA" panose="02000000000000000000" pitchFamily="2" charset="0"/>
            </a:rPr>
            <a:t>MAPPING</a:t>
          </a:r>
          <a:r>
            <a:rPr lang="en-IN" sz="2000" b="1" u="sng" baseline="0">
              <a:solidFill>
                <a:schemeClr val="accent2">
                  <a:lumMod val="50000"/>
                </a:schemeClr>
              </a:solidFill>
              <a:latin typeface="AR CENA" panose="02000000000000000000" pitchFamily="2" charset="0"/>
            </a:rPr>
            <a:t> THE NUMBER OF FEMALES PER 1000 MALES ACCORDING TO RESIDENCE IN THE YEAR 2001-11 FOR ALL THE STATES AND UNION TERRITORIES:</a:t>
          </a:r>
          <a:endParaRPr lang="en-IN" sz="2000" b="1" u="sng">
            <a:solidFill>
              <a:schemeClr val="accent2">
                <a:lumMod val="50000"/>
              </a:schemeClr>
            </a:solidFill>
            <a:latin typeface="AR CENA" panose="02000000000000000000" pitchFamily="2"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142875</xdr:colOff>
      <xdr:row>5</xdr:row>
      <xdr:rowOff>171448</xdr:rowOff>
    </xdr:from>
    <xdr:to>
      <xdr:col>8</xdr:col>
      <xdr:colOff>819150</xdr:colOff>
      <xdr:row>25</xdr:row>
      <xdr:rowOff>171449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0</xdr:row>
      <xdr:rowOff>28575</xdr:rowOff>
    </xdr:from>
    <xdr:to>
      <xdr:col>10</xdr:col>
      <xdr:colOff>647699</xdr:colOff>
      <xdr:row>2</xdr:row>
      <xdr:rowOff>114301</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9050" y="28575"/>
          <a:ext cx="11849099" cy="4667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u="sng">
              <a:solidFill>
                <a:schemeClr val="accent4">
                  <a:lumMod val="50000"/>
                </a:schemeClr>
              </a:solidFill>
              <a:latin typeface="AR CENA" panose="02000000000000000000" pitchFamily="2" charset="0"/>
            </a:rPr>
            <a:t>CHANGE IN THE</a:t>
          </a:r>
          <a:r>
            <a:rPr lang="en-IN" sz="2400" b="1" u="sng" baseline="0">
              <a:solidFill>
                <a:schemeClr val="accent4">
                  <a:lumMod val="50000"/>
                </a:schemeClr>
              </a:solidFill>
              <a:latin typeface="AR CENA" panose="02000000000000000000" pitchFamily="2" charset="0"/>
            </a:rPr>
            <a:t> NUMBER OF FEMALES PER 1000 MEN  BETWEEN 2001-2011</a:t>
          </a:r>
          <a:endParaRPr lang="en-IN" sz="2400" b="1" u="sng">
            <a:solidFill>
              <a:schemeClr val="accent4">
                <a:lumMod val="50000"/>
              </a:schemeClr>
            </a:solidFill>
            <a:latin typeface="AR CENA" panose="02000000000000000000" pitchFamily="2" charset="0"/>
          </a:endParaRPr>
        </a:p>
      </xdr:txBody>
    </xdr:sp>
    <xdr:clientData/>
  </xdr:twoCellAnchor>
  <xdr:twoCellAnchor editAs="oneCell">
    <xdr:from>
      <xdr:col>0</xdr:col>
      <xdr:colOff>622663</xdr:colOff>
      <xdr:row>13</xdr:row>
      <xdr:rowOff>127363</xdr:rowOff>
    </xdr:from>
    <xdr:to>
      <xdr:col>2</xdr:col>
      <xdr:colOff>144295</xdr:colOff>
      <xdr:row>27</xdr:row>
      <xdr:rowOff>155938</xdr:rowOff>
    </xdr:to>
    <mc:AlternateContent xmlns:mc="http://schemas.openxmlformats.org/markup-compatibility/2006" xmlns:a14="http://schemas.microsoft.com/office/drawing/2010/main">
      <mc:Choice Requires="a14">
        <xdr:graphicFrame macro="">
          <xdr:nvGraphicFramePr>
            <xdr:cNvPr id="5" name="Sub-category 5">
              <a:extLst>
                <a:ext uri="{FF2B5EF4-FFF2-40B4-BE49-F238E27FC236}">
                  <a16:creationId xmlns:a16="http://schemas.microsoft.com/office/drawing/2014/main" id="{28A84E90-81C6-4B52-8979-2FD9138C0AA5}"/>
                </a:ext>
              </a:extLst>
            </xdr:cNvPr>
            <xdr:cNvGraphicFramePr/>
          </xdr:nvGraphicFramePr>
          <xdr:xfrm>
            <a:off x="0" y="0"/>
            <a:ext cx="0" cy="0"/>
          </xdr:xfrm>
          <a:graphic>
            <a:graphicData uri="http://schemas.microsoft.com/office/drawing/2010/slicer">
              <sle:slicer xmlns:sle="http://schemas.microsoft.com/office/drawing/2010/slicer" name="Sub-category 5"/>
            </a:graphicData>
          </a:graphic>
        </xdr:graphicFrame>
      </mc:Choice>
      <mc:Fallback xmlns="">
        <xdr:sp macro="" textlink="">
          <xdr:nvSpPr>
            <xdr:cNvPr id="0" name=""/>
            <xdr:cNvSpPr>
              <a:spLocks noTextEdit="1"/>
            </xdr:cNvSpPr>
          </xdr:nvSpPr>
          <xdr:spPr>
            <a:xfrm>
              <a:off x="622663" y="2603863"/>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742950</xdr:colOff>
      <xdr:row>9</xdr:row>
      <xdr:rowOff>171449</xdr:rowOff>
    </xdr:from>
    <xdr:to>
      <xdr:col>8</xdr:col>
      <xdr:colOff>0</xdr:colOff>
      <xdr:row>26</xdr:row>
      <xdr:rowOff>114300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19050</xdr:rowOff>
    </xdr:from>
    <xdr:to>
      <xdr:col>11</xdr:col>
      <xdr:colOff>219075</xdr:colOff>
      <xdr:row>4</xdr:row>
      <xdr:rowOff>85725</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0" y="19050"/>
          <a:ext cx="11610975"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u="sng">
              <a:solidFill>
                <a:schemeClr val="accent2">
                  <a:lumMod val="50000"/>
                </a:schemeClr>
              </a:solidFill>
              <a:latin typeface="AR CENA" panose="02000000000000000000" pitchFamily="2" charset="0"/>
            </a:rPr>
            <a:t>IDENTIFYING THE TOP 10 STATES ABOVE</a:t>
          </a:r>
          <a:r>
            <a:rPr lang="en-IN" sz="2000" b="1" u="sng" baseline="0">
              <a:solidFill>
                <a:schemeClr val="accent2">
                  <a:lumMod val="50000"/>
                </a:schemeClr>
              </a:solidFill>
              <a:latin typeface="AR CENA" panose="02000000000000000000" pitchFamily="2" charset="0"/>
            </a:rPr>
            <a:t> THE NATIONAL AVERAGE IN TERMS OF NUMBER OF FEMALES PER 1000 MEN IN THE YEAR 2001-2011:</a:t>
          </a:r>
          <a:endParaRPr lang="en-IN" sz="2000" b="1" u="sng">
            <a:solidFill>
              <a:schemeClr val="accent2">
                <a:lumMod val="50000"/>
              </a:schemeClr>
            </a:solidFill>
            <a:latin typeface="AR CENA" panose="02000000000000000000" pitchFamily="2"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681037</xdr:colOff>
      <xdr:row>9</xdr:row>
      <xdr:rowOff>38100</xdr:rowOff>
    </xdr:from>
    <xdr:to>
      <xdr:col>10</xdr:col>
      <xdr:colOff>502093</xdr:colOff>
      <xdr:row>29</xdr:row>
      <xdr:rowOff>44302</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85725</xdr:colOff>
      <xdr:row>0</xdr:row>
      <xdr:rowOff>180975</xdr:rowOff>
    </xdr:from>
    <xdr:to>
      <xdr:col>10</xdr:col>
      <xdr:colOff>419100</xdr:colOff>
      <xdr:row>3</xdr:row>
      <xdr:rowOff>161925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85725" y="180975"/>
          <a:ext cx="11534775" cy="55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u="sng">
              <a:solidFill>
                <a:schemeClr val="accent2">
                  <a:lumMod val="50000"/>
                </a:schemeClr>
              </a:solidFill>
              <a:latin typeface="AR CENA" panose="02000000000000000000" pitchFamily="2" charset="0"/>
            </a:rPr>
            <a:t>RATIO OF RURAL TO URBAN SEX RATIO IN THE UNION TERRITORIES</a:t>
          </a:r>
          <a:r>
            <a:rPr lang="en-IN" sz="2400" u="sng" baseline="0">
              <a:solidFill>
                <a:schemeClr val="accent2">
                  <a:lumMod val="50000"/>
                </a:schemeClr>
              </a:solidFill>
              <a:latin typeface="AR CENA" panose="02000000000000000000" pitchFamily="2" charset="0"/>
            </a:rPr>
            <a:t> OF INDIA IN THE YEAR 2001-2011</a:t>
          </a:r>
          <a:endParaRPr lang="en-IN" sz="2400" u="sng">
            <a:solidFill>
              <a:schemeClr val="accent2">
                <a:lumMod val="50000"/>
              </a:schemeClr>
            </a:solidFill>
            <a:latin typeface="AR CENA" panose="02000000000000000000" pitchFamily="2"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13</xdr:row>
      <xdr:rowOff>38100</xdr:rowOff>
    </xdr:from>
    <xdr:to>
      <xdr:col>2</xdr:col>
      <xdr:colOff>1209675</xdr:colOff>
      <xdr:row>30</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0</xdr:row>
      <xdr:rowOff>114300</xdr:rowOff>
    </xdr:from>
    <xdr:to>
      <xdr:col>11</xdr:col>
      <xdr:colOff>0</xdr:colOff>
      <xdr:row>4</xdr:row>
      <xdr:rowOff>85725</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7625" y="114300"/>
          <a:ext cx="11449050"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u="sng">
              <a:solidFill>
                <a:schemeClr val="accent2">
                  <a:lumMod val="50000"/>
                </a:schemeClr>
              </a:solidFill>
              <a:latin typeface="AR CENA" panose="02000000000000000000" pitchFamily="2" charset="0"/>
            </a:rPr>
            <a:t>STUDYING THE NUMBER</a:t>
          </a:r>
          <a:r>
            <a:rPr lang="en-IN" sz="2000" u="sng" baseline="0">
              <a:solidFill>
                <a:schemeClr val="accent2">
                  <a:lumMod val="50000"/>
                </a:schemeClr>
              </a:solidFill>
              <a:latin typeface="AR CENA" panose="02000000000000000000" pitchFamily="2" charset="0"/>
            </a:rPr>
            <a:t> OF FEMALES PER 1000 MALES IN THE AGE GROUP(0-6 YEARS) AND IN THAT OF ADULTS FOR THE YEAR 2001-11:</a:t>
          </a:r>
          <a:endParaRPr lang="en-IN" sz="2000" u="sng">
            <a:solidFill>
              <a:schemeClr val="accent2">
                <a:lumMod val="50000"/>
              </a:schemeClr>
            </a:solidFill>
            <a:latin typeface="AR CENA" panose="02000000000000000000" pitchFamily="2"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504325</xdr:colOff>
      <xdr:row>3</xdr:row>
      <xdr:rowOff>9561</xdr:rowOff>
    </xdr:from>
    <xdr:to>
      <xdr:col>12</xdr:col>
      <xdr:colOff>16909</xdr:colOff>
      <xdr:row>21</xdr:row>
      <xdr:rowOff>123861</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166687</xdr:colOff>
      <xdr:row>2</xdr:row>
      <xdr:rowOff>171450</xdr:rowOff>
    </xdr:from>
    <xdr:to>
      <xdr:col>9</xdr:col>
      <xdr:colOff>485775</xdr:colOff>
      <xdr:row>17</xdr:row>
      <xdr:rowOff>57150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220980</xdr:colOff>
      <xdr:row>5</xdr:row>
      <xdr:rowOff>152400</xdr:rowOff>
    </xdr:from>
    <xdr:to>
      <xdr:col>6</xdr:col>
      <xdr:colOff>464820</xdr:colOff>
      <xdr:row>19</xdr:row>
      <xdr:rowOff>180975</xdr:rowOff>
    </xdr:to>
    <mc:AlternateContent xmlns:mc="http://schemas.openxmlformats.org/markup-compatibility/2006" xmlns:a14="http://schemas.microsoft.com/office/drawing/2010/main">
      <mc:Choice Requires="a14">
        <xdr:graphicFrame macro="">
          <xdr:nvGraphicFramePr>
            <xdr:cNvPr id="2" name="Sub-category 6">
              <a:extLst>
                <a:ext uri="{FF2B5EF4-FFF2-40B4-BE49-F238E27FC236}">
                  <a16:creationId xmlns:a16="http://schemas.microsoft.com/office/drawing/2014/main" id="{DC9F5BFC-1197-485E-B4F9-857ED92B6E91}"/>
                </a:ext>
              </a:extLst>
            </xdr:cNvPr>
            <xdr:cNvGraphicFramePr/>
          </xdr:nvGraphicFramePr>
          <xdr:xfrm>
            <a:off x="0" y="0"/>
            <a:ext cx="0" cy="0"/>
          </xdr:xfrm>
          <a:graphic>
            <a:graphicData uri="http://schemas.microsoft.com/office/drawing/2010/slicer">
              <sle:slicer xmlns:sle="http://schemas.microsoft.com/office/drawing/2010/slicer" name="Sub-category 6"/>
            </a:graphicData>
          </a:graphic>
        </xdr:graphicFrame>
      </mc:Choice>
      <mc:Fallback xmlns="">
        <xdr:sp macro="" textlink="">
          <xdr:nvSpPr>
            <xdr:cNvPr id="0" name=""/>
            <xdr:cNvSpPr>
              <a:spLocks noTextEdit="1"/>
            </xdr:cNvSpPr>
          </xdr:nvSpPr>
          <xdr:spPr>
            <a:xfrm>
              <a:off x="5928360" y="1104900"/>
              <a:ext cx="1828800" cy="26955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34290</xdr:colOff>
      <xdr:row>6</xdr:row>
      <xdr:rowOff>137160</xdr:rowOff>
    </xdr:from>
    <xdr:to>
      <xdr:col>7</xdr:col>
      <xdr:colOff>643890</xdr:colOff>
      <xdr:row>21</xdr:row>
      <xdr:rowOff>22860</xdr:rowOff>
    </xdr:to>
    <xdr:graphicFrame macro="">
      <xdr:nvGraphicFramePr>
        <xdr:cNvPr id="2" name="Chart 1">
          <a:extLst>
            <a:ext uri="{FF2B5EF4-FFF2-40B4-BE49-F238E27FC236}">
              <a16:creationId xmlns:a16="http://schemas.microsoft.com/office/drawing/2014/main" id="{2BA6BC32-8D3B-4E05-801C-D4A51C32E0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OME" refreshedDate="43414.714848148149" createdVersion="5" refreshedVersion="5" minRefreshableVersion="3" recordCount="35" xr:uid="{00000000-000A-0000-FFFF-FFFF00000000}">
  <cacheSource type="worksheet">
    <worksheetSource ref="C1:J36" sheet="decadal growth rate vs S.R. "/>
  </cacheSource>
  <cacheFields count="8">
    <cacheField name="Sub-category" numFmtId="0">
      <sharedItems/>
    </cacheField>
    <cacheField name=" Total - 2001" numFmtId="0">
      <sharedItems containsSemiMixedTypes="0" containsString="0" containsNumber="1" containsInteger="1" minValue="710" maxValue="1058"/>
    </cacheField>
    <cacheField name=" Total - 2011" numFmtId="0">
      <sharedItems containsSemiMixedTypes="0" containsString="0" containsNumber="1" containsInteger="1" minValue="618" maxValue="1084"/>
    </cacheField>
    <cacheField name="Difference" numFmtId="0">
      <sharedItems containsSemiMixedTypes="0" containsString="0" containsNumber="1" containsInteger="1" minValue="-92" maxValue="47"/>
    </cacheField>
    <cacheField name="DGR -2001-11" numFmtId="0">
      <sharedItems containsSemiMixedTypes="0" containsString="0" containsNumber="1" minValue="-0.6" maxValue="55.9"/>
    </cacheField>
    <cacheField name="RANK DIFF." numFmtId="0">
      <sharedItems containsSemiMixedTypes="0" containsString="0" containsNumber="1" minValue="1" maxValue="35"/>
    </cacheField>
    <cacheField name="RANK DGR" numFmtId="0">
      <sharedItems containsSemiMixedTypes="0" containsString="0" containsNumber="1" minValue="1" maxValue="35"/>
    </cacheField>
    <cacheField name="(RANK DGR-RANK DIFF.)^2" numFmtId="0">
      <sharedItems containsSemiMixedTypes="0" containsString="0" containsNumber="1" minValue="0" maxValue="108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yam jat" refreshedDate="43787.500136111114" createdVersion="5" refreshedVersion="6" minRefreshableVersion="3" recordCount="36" xr:uid="{00000000-000A-0000-FFFF-FFFF01000000}">
  <cacheSource type="worksheet">
    <worksheetSource name="SexRatio"/>
  </cacheSource>
  <cacheFields count="14">
    <cacheField name="Category" numFmtId="0">
      <sharedItems containsBlank="1" count="4">
        <s v="Country"/>
        <s v="State"/>
        <s v="Union Territory"/>
        <m u="1"/>
      </sharedItems>
    </cacheField>
    <cacheField name="ZONES" numFmtId="0">
      <sharedItems containsBlank="1" count="9">
        <s v="Country"/>
        <s v="South"/>
        <s v="North East"/>
        <s v="East"/>
        <s v="Central"/>
        <s v="West"/>
        <s v="North"/>
        <s v="U.T."/>
        <m u="1"/>
      </sharedItems>
    </cacheField>
    <cacheField name="Sub-category" numFmtId="0">
      <sharedItems containsBlank="1" count="37">
        <s v="INDIA"/>
        <s v="Andhra Pradesh"/>
        <s v="Arunachal Pradesh"/>
        <s v="Assam"/>
        <s v="Bihar"/>
        <s v="Chhattisgarh"/>
        <s v="Goa"/>
        <s v="Gujarat"/>
        <s v="Haryana"/>
        <s v="Himachal Pradesh"/>
        <s v="Jammu &amp; Kashmir"/>
        <s v="Jharkhand"/>
        <s v="Karnataka"/>
        <s v="Kerala"/>
        <s v="Madhya Pradesh"/>
        <s v="Maharashtra"/>
        <s v="Manipur"/>
        <s v="Meghalaya"/>
        <s v="Mizoram"/>
        <s v="Nagaland"/>
        <s v="Odisha"/>
        <s v="Punjab"/>
        <s v="Rajasthan"/>
        <s v="Sikkim"/>
        <s v="Tamil Nadu"/>
        <s v="Tripura"/>
        <s v="Uttar Pradesh"/>
        <s v="Uttarakhand"/>
        <s v="West Bengal"/>
        <s v="A &amp; N Islands"/>
        <s v="Chandigarh"/>
        <s v="D &amp; N Haveli"/>
        <s v="Daman &amp; Diu"/>
        <s v="Lakshadweep"/>
        <s v="NCT of Delhi"/>
        <s v="Puducherry"/>
        <m u="1"/>
      </sharedItems>
    </cacheField>
    <cacheField name=" Total - 2001" numFmtId="0">
      <sharedItems containsSemiMixedTypes="0" containsString="0" containsNumber="1" containsInteger="1" minValue="710" maxValue="1058"/>
    </cacheField>
    <cacheField name=" Total - 2011" numFmtId="0">
      <sharedItems containsSemiMixedTypes="0" containsString="0" containsNumber="1" containsInteger="1" minValue="618" maxValue="1084"/>
    </cacheField>
    <cacheField name=" Rural - 2001" numFmtId="0">
      <sharedItems containsSemiMixedTypes="0" containsString="0" containsNumber="1" containsInteger="1" minValue="586" maxValue="1059" count="35">
        <n v="946"/>
        <n v="983"/>
        <n v="914"/>
        <n v="944"/>
        <n v="926"/>
        <n v="1004"/>
        <n v="988"/>
        <n v="945"/>
        <n v="866"/>
        <n v="989"/>
        <n v="917"/>
        <n v="962"/>
        <n v="977"/>
        <n v="1059"/>
        <n v="927"/>
        <n v="960"/>
        <n v="967"/>
        <n v="969"/>
        <n v="923"/>
        <n v="916"/>
        <n v="987"/>
        <n v="890"/>
        <n v="930"/>
        <n v="880"/>
        <n v="992"/>
        <n v="904"/>
        <n v="1007"/>
        <n v="950"/>
        <n v="861"/>
        <n v="621"/>
        <n v="852"/>
        <n v="586"/>
        <n v="959"/>
        <n v="810"/>
        <n v="990"/>
      </sharedItems>
    </cacheField>
    <cacheField name=" Rural - 2011" numFmtId="0">
      <sharedItems containsSemiMixedTypes="0" containsString="0" containsNumber="1" containsInteger="1" minValue="690" maxValue="1078" count="30">
        <n v="949"/>
        <n v="996"/>
        <n v="953"/>
        <n v="960"/>
        <n v="921"/>
        <n v="1001"/>
        <n v="1003"/>
        <n v="882"/>
        <n v="986"/>
        <n v="908"/>
        <n v="961"/>
        <n v="979"/>
        <n v="1078"/>
        <n v="936"/>
        <n v="952"/>
        <n v="969"/>
        <n v="940"/>
        <n v="989"/>
        <n v="907"/>
        <n v="933"/>
        <n v="993"/>
        <n v="955"/>
        <n v="918"/>
        <n v="1000"/>
        <n v="877"/>
        <n v="690"/>
        <n v="863"/>
        <n v="864"/>
        <n v="852"/>
        <n v="1028"/>
      </sharedItems>
    </cacheField>
    <cacheField name="Urban - 2001" numFmtId="0">
      <sharedItems containsSemiMixedTypes="0" containsString="0" containsNumber="1" containsInteger="1" minValue="691" maxValue="1058"/>
    </cacheField>
    <cacheField name="Urban - 2011" numFmtId="0">
      <sharedItems containsSemiMixedTypes="0" containsString="0" containsNumber="1" containsInteger="1" minValue="551" maxValue="1091"/>
    </cacheField>
    <cacheField name="Net Difference" numFmtId="0" formula="' Total - 2011'-' Total - 2001'" databaseField="0"/>
    <cacheField name="ratio-2001" numFmtId="0" formula="' Rural - 2001'/'Urban - 2001'" databaseField="0"/>
    <cacheField name="Ratio 2011" numFmtId="0" formula="' Rural - 2011'/'Urban - 2011'" databaseField="0"/>
    <cacheField name="ratio:2001/2011" numFmtId="0" formula="#NAME?/#NAME?" databaseField="0"/>
    <cacheField name="AVERAGE" numFmtId="0" formula=" ('ratio-2001'+'Ratio 2011')/2"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yam jat" refreshedDate="43787.741592592596" createdVersion="6" refreshedVersion="6" minRefreshableVersion="3" recordCount="35" xr:uid="{C0497761-EE11-4BE5-857F-A79878E5212A}">
  <cacheSource type="worksheet">
    <worksheetSource name="Table4"/>
  </cacheSource>
  <cacheFields count="10">
    <cacheField name="Category" numFmtId="0">
      <sharedItems/>
    </cacheField>
    <cacheField name="ZONES" numFmtId="0">
      <sharedItems/>
    </cacheField>
    <cacheField name="Sub-category" numFmtId="0">
      <sharedItems count="35">
        <s v="Daman &amp; Diu"/>
        <s v="D &amp; N Haveli"/>
        <s v="Jammu &amp; Kashmir"/>
        <s v="Lakshadweep"/>
        <s v="Gujarat"/>
        <s v="Bihar"/>
        <s v="Uttarakhand"/>
        <s v="Chhattisgarh"/>
        <s v="Himachal Pradesh"/>
        <s v="Odisha"/>
        <s v="Maharashtra"/>
        <s v="Rajasthan"/>
        <s v="Jharkhand"/>
        <s v="Manipur"/>
        <s v="Karnataka"/>
        <s v="Tamil Nadu"/>
        <s v="Goa"/>
        <s v="Tripura"/>
        <s v="Madhya Pradesh"/>
        <s v="Uttar Pradesh"/>
        <s v="Andhra Pradesh"/>
        <s v="Sikkim"/>
        <s v="West Bengal"/>
        <s v="Meghalaya"/>
        <s v="Haryana"/>
        <s v="Punjab"/>
        <s v="Assam"/>
        <s v="Kerala"/>
        <s v="A &amp; N Islands"/>
        <s v="Nagaland"/>
        <s v="Puducherry"/>
        <s v="Chandigarh"/>
        <s v="Mizoram"/>
        <s v="Arunachal Pradesh"/>
        <s v="NCT of Delhi"/>
      </sharedItems>
    </cacheField>
    <cacheField name=" Total - 2001" numFmtId="0">
      <sharedItems containsSemiMixedTypes="0" containsString="0" containsNumber="1" containsInteger="1" minValue="710" maxValue="1058"/>
    </cacheField>
    <cacheField name=" Total - 2011" numFmtId="0">
      <sharedItems containsSemiMixedTypes="0" containsString="0" containsNumber="1" containsInteger="1" minValue="618" maxValue="1084"/>
    </cacheField>
    <cacheField name="Difference" numFmtId="0">
      <sharedItems containsSemiMixedTypes="0" containsString="0" containsNumber="1" containsInteger="1" minValue="-92" maxValue="47"/>
    </cacheField>
    <cacheField name="DGR -2001-11" numFmtId="0">
      <sharedItems containsSemiMixedTypes="0" containsString="0" containsNumber="1" minValue="-0.6" maxValue="55.9"/>
    </cacheField>
    <cacheField name="RANK DIFF." numFmtId="0">
      <sharedItems containsSemiMixedTypes="0" containsString="0" containsNumber="1" minValue="1" maxValue="35"/>
    </cacheField>
    <cacheField name="RANK DGR" numFmtId="0">
      <sharedItems containsSemiMixedTypes="0" containsString="0" containsNumber="1" containsInteger="1" minValue="1" maxValue="35"/>
    </cacheField>
    <cacheField name="(RANK DGR-RANK DIFF.)^2" numFmtId="0">
      <sharedItems containsSemiMixedTypes="0" containsString="0" containsNumber="1" minValue="1" maxValue="108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yam jat" refreshedDate="43787.757495138889" createdVersion="6" refreshedVersion="6" minRefreshableVersion="3" recordCount="36" xr:uid="{AF959167-0A59-4A08-920D-16985C87098A}">
  <cacheSource type="worksheet">
    <worksheetSource name="Literacy_rate"/>
  </cacheSource>
  <cacheFields count="4">
    <cacheField name="Category" numFmtId="0">
      <sharedItems/>
    </cacheField>
    <cacheField name="Sub-category" numFmtId="0">
      <sharedItems count="36">
        <s v="INDIA"/>
        <s v="Andhra Pradesh"/>
        <s v="Arunachal Pradesh"/>
        <s v="Assam"/>
        <s v="Bihar"/>
        <s v="Chhattisgarh"/>
        <s v="Goa"/>
        <s v="Gujarat"/>
        <s v="Haryana"/>
        <s v="Himachal Pradesh"/>
        <s v="Jammu &amp; Kashmir"/>
        <s v="Jharkhand"/>
        <s v="Karnataka"/>
        <s v="Kerala"/>
        <s v="Madhya Pradesh"/>
        <s v="Maharashtra"/>
        <s v="Manipur"/>
        <s v="Meghalaya"/>
        <s v="Mizoram"/>
        <s v="Nagaland"/>
        <s v="Odisha"/>
        <s v="Punjab"/>
        <s v="Rajasthan"/>
        <s v="Sikkim"/>
        <s v="Tamil Nadu"/>
        <s v="Tripura"/>
        <s v="Uttar Pradesh"/>
        <s v="Uttarakhand"/>
        <s v="West Bengal"/>
        <s v="A &amp; N Islands"/>
        <s v="Chandigarh"/>
        <s v="D &amp; N Haveli"/>
        <s v="Daman &amp; Diu"/>
        <s v="Lakshadweep"/>
        <s v="NCT of Delhi"/>
        <s v="Puducherry"/>
      </sharedItems>
    </cacheField>
    <cacheField name="Literacy Rate-2001" numFmtId="0">
      <sharedItems containsSemiMixedTypes="0" containsString="0" containsNumber="1" minValue="47" maxValue="90.86"/>
    </cacheField>
    <cacheField name="Literacy Rate-2011" numFmtId="0">
      <sharedItems containsSemiMixedTypes="0" containsString="0" containsNumber="1" minValue="63.82" maxValue="93.9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ahmajit Mohapatra" refreshedDate="44180.396106250002" backgroundQuery="1" createdVersion="5" refreshedVersion="6" minRefreshableVersion="3" recordCount="0" supportSubquery="1" supportAdvancedDrill="1" xr:uid="{00000000-000A-0000-FFFF-FFFF04000000}">
  <cacheSource type="external" connectionId="1"/>
  <cacheFields count="5">
    <cacheField name="[Measures].[Sum of CSR Total - 2001]" caption="Sum of CSR Total - 2001" numFmtId="0" hierarchy="45" level="32767"/>
    <cacheField name="[Measures].[Sum of CSR Total - 2011]" caption="Sum of CSR Total - 2011" numFmtId="0" hierarchy="46" level="32767"/>
    <cacheField name="[Measures].[Sum of Total - 2001]" caption="Sum of Total - 2001" numFmtId="0" hierarchy="47" level="32767"/>
    <cacheField name="[Measures].[Sum of Total - 2011]" caption="Sum of Total - 2011" numFmtId="0" hierarchy="48" level="32767"/>
    <cacheField name="[SexRatio].[Sub-category].[Sub-category]" caption="Sub-category" numFmtId="0" hierarchy="12" level="1">
      <sharedItems count="5">
        <s v="Bihar"/>
        <s v="Madhya Pradesh"/>
        <s v="Maharashtra"/>
        <s v="Uttar Pradesh"/>
        <s v="West Bengal"/>
      </sharedItems>
    </cacheField>
  </cacheFields>
  <cacheHierarchies count="58">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fieldsUsage count="2">
        <fieldUsage x="-1"/>
        <fieldUsage x="4"/>
      </fieldsUsage>
    </cacheHierarchy>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y uniqueName="[Measures].[Sum of CSR Total - 2001]" caption="Sum of CSR Total - 2001" measure="1" displayFolder="" measureGroup="CSR" count="0" oneField="1" hidden="1">
      <fieldsUsage count="1">
        <fieldUsage x="0"/>
      </fieldsUsage>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oneField="1" hidden="1">
      <fieldsUsage count="1">
        <fieldUsage x="2"/>
      </fieldsUsage>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oneField="1" hidden="1">
      <fieldsUsage count="1">
        <fieldUsage x="3"/>
      </fieldsUsage>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hidden="1">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hidden="1">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hidden="1">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hidden="1">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hidden="1">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hidden="1">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hidden="1">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hidden="1">
      <extLst>
        <ext xmlns:x15="http://schemas.microsoft.com/office/spreadsheetml/2010/11/main" uri="{B97F6D7D-B522-45F9-BDA1-12C45D357490}">
          <x15:cacheHierarchy aggregatedColumn="37"/>
        </ext>
      </extLst>
    </cacheHierarchy>
    <cacheHierarchy uniqueName="[Measures].[Sum of D^2]" caption="Sum of D^2" measure="1" displayFolder="" measureGroup="Table5" count="0" hidden="1">
      <extLst>
        <ext xmlns:x15="http://schemas.microsoft.com/office/spreadsheetml/2010/11/main" uri="{B97F6D7D-B522-45F9-BDA1-12C45D357490}">
          <x15:cacheHierarchy aggregatedColumn="38"/>
        </ext>
      </extLst>
    </cacheHierarchy>
  </cacheHierarchies>
  <kpis count="0"/>
  <dimensions count="6">
    <dimension name="CSR" uniqueName="[CSR]" caption="CSR"/>
    <dimension measure="1" name="Measures" uniqueName="[Measures]" caption="Measures"/>
    <dimension name="SexRatio" uniqueName="[SexRatio]" caption="SexRatio"/>
    <dimension name="Table3" uniqueName="[Table3]" caption="Table3"/>
    <dimension name="Table4" uniqueName="[Table4]" caption="Table4"/>
    <dimension name="Table5" uniqueName="[Table5]" caption="Table5"/>
  </dimensions>
  <measureGroups count="5">
    <measureGroup name="CSR" caption="CSR"/>
    <measureGroup name="SexRatio" caption="SexRatio"/>
    <measureGroup name="Table3" caption="Table3"/>
    <measureGroup name="Table4" caption="Table4"/>
    <measureGroup name="Table5" caption="Table5"/>
  </measureGroups>
  <maps count="9">
    <map measureGroup="0" dimension="0"/>
    <map measureGroup="0" dimension="2"/>
    <map measureGroup="1" dimension="2"/>
    <map measureGroup="2" dimension="2"/>
    <map measureGroup="2" dimension="3"/>
    <map measureGroup="3" dimension="2"/>
    <map measureGroup="3" dimension="4"/>
    <map measureGroup="4" dimension="2"/>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3421.605596875001" backgroundQuery="1" createdVersion="5" refreshedVersion="5" minRefreshableVersion="3" recordCount="0" supportSubquery="1" supportAdvancedDrill="1" xr:uid="{00000000-000A-0000-FFFF-FFFF02000000}">
  <cacheSource type="external" connectionId="1"/>
  <cacheFields count="3">
    <cacheField name="[Table4].[Sub-category].[Sub-category]" caption="Sub-category" numFmtId="0" hierarchy="25" level="1">
      <sharedItems count="35">
        <s v="A &amp; N Islands"/>
        <s v="Andhra Pradesh"/>
        <s v="Arunachal Pradesh"/>
        <s v="Assam"/>
        <s v="Bihar"/>
        <s v="Chandigarh"/>
        <s v="Chhattisgarh"/>
        <s v="D &amp; N Haveli"/>
        <s v="Daman &amp; Diu"/>
        <s v="Goa"/>
        <s v="Gujarat"/>
        <s v="Haryana"/>
        <s v="Himachal Pradesh"/>
        <s v="Jammu &amp; Kashmir"/>
        <s v="Jharkhand"/>
        <s v="Karnataka"/>
        <s v="Kerala"/>
        <s v="Lakshadweep"/>
        <s v="Madhya Pradesh"/>
        <s v="Maharashtra"/>
        <s v="Manipur"/>
        <s v="Meghalaya"/>
        <s v="Mizoram"/>
        <s v="Nagaland"/>
        <s v="NCT of Delhi"/>
        <s v="Odisha"/>
        <s v="Puducherry"/>
        <s v="Punjab"/>
        <s v="Rajasthan"/>
        <s v="Sikkim"/>
        <s v="Tamil Nadu"/>
        <s v="Tripura"/>
        <s v="Uttar Pradesh"/>
        <s v="Uttarakhand"/>
        <s v="West Bengal"/>
      </sharedItems>
    </cacheField>
    <cacheField name="[Measures].[Sum of RANK DIFF]" caption="Sum of RANK DIFF" numFmtId="0" hierarchy="53" level="32767"/>
    <cacheField name="[Measures].[Sum of RANK DGR]" caption="Sum of RANK DGR" numFmtId="0" hierarchy="54" level="32767"/>
  </cacheFields>
  <cacheHierarchies count="58">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0" memberValueDatatype="130" unbalanced="0"/>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2" memberValueDatatype="130" unbalanced="0">
      <fieldsUsage count="2">
        <fieldUsage x="-1"/>
        <fieldUsage x="0"/>
      </fieldsUsage>
    </cacheHierarchy>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y uniqueName="[Measures].[Sum of CSR Total - 2001]" caption="Sum of CSR Total - 2001" measure="1" displayFolder="" measureGroup="CSR" count="0" hidden="1">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hidden="1">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hidden="1">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hidden="1">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hidden="1">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hidden="1">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hidden="1">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hidden="1">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oneField="1" hidden="1">
      <fieldsUsage count="1">
        <fieldUsage x="1"/>
      </fieldsUsage>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oneField="1" hidden="1">
      <fieldsUsage count="1">
        <fieldUsage x="2"/>
      </fieldsUsage>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hidden="1">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hidden="1">
      <extLst>
        <ext xmlns:x15="http://schemas.microsoft.com/office/spreadsheetml/2010/11/main" uri="{B97F6D7D-B522-45F9-BDA1-12C45D357490}">
          <x15:cacheHierarchy aggregatedColumn="37"/>
        </ext>
      </extLst>
    </cacheHierarchy>
    <cacheHierarchy uniqueName="[Measures].[Sum of D^2]" caption="Sum of D^2" measure="1" displayFolder="" measureGroup="Table5" count="0" hidden="1">
      <extLst>
        <ext xmlns:x15="http://schemas.microsoft.com/office/spreadsheetml/2010/11/main" uri="{B97F6D7D-B522-45F9-BDA1-12C45D357490}">
          <x15:cacheHierarchy aggregatedColumn="38"/>
        </ext>
      </extLst>
    </cacheHierarchy>
  </cacheHierarchies>
  <kpis count="0"/>
  <dimensions count="6">
    <dimension name="CSR" uniqueName="[CSR]" caption="CSR"/>
    <dimension measure="1" name="Measures" uniqueName="[Measures]" caption="Measures"/>
    <dimension name="SexRatio" uniqueName="[SexRatio]" caption="SexRatio"/>
    <dimension name="Table3" uniqueName="[Table3]" caption="Table3"/>
    <dimension name="Table4" uniqueName="[Table4]" caption="Table4"/>
    <dimension name="Table5" uniqueName="[Table5]" caption="Table5"/>
  </dimensions>
  <measureGroups count="5">
    <measureGroup name="CSR" caption="CSR"/>
    <measureGroup name="SexRatio" caption="SexRatio"/>
    <measureGroup name="Table3" caption="Table3"/>
    <measureGroup name="Table4" caption="Table4"/>
    <measureGroup name="Table5" caption="Table5"/>
  </measureGroups>
  <maps count="9">
    <map measureGroup="0" dimension="0"/>
    <map measureGroup="0" dimension="2"/>
    <map measureGroup="1" dimension="2"/>
    <map measureGroup="2" dimension="2"/>
    <map measureGroup="2" dimension="3"/>
    <map measureGroup="3" dimension="2"/>
    <map measureGroup="3" dimension="4"/>
    <map measureGroup="4" dimension="2"/>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yam jat" refreshedDate="43787.736990972226" backgroundQuery="1" createdVersion="6" refreshedVersion="6" minRefreshableVersion="3" recordCount="0" supportSubquery="1" supportAdvancedDrill="1" xr:uid="{ADAF43F2-A35C-489D-8333-CF02D6FD0732}">
  <cacheSource type="external" connectionId="1"/>
  <cacheFields count="2">
    <cacheField name="[SexRatio].[Sub-category].[Sub-category]" caption="Sub-category" numFmtId="0" hierarchy="12" level="1">
      <sharedItems count="5">
        <s v="Andhra Pradesh"/>
        <s v="Chhattisgarh"/>
        <s v="Kerala"/>
        <s v="Puducherry"/>
        <s v="Tamil Nadu"/>
      </sharedItems>
    </cacheField>
    <cacheField name="[Measures].[Sum of Total - 2001]" caption="Sum of Total - 2001" numFmtId="0" hierarchy="47" level="32767"/>
  </cacheFields>
  <cacheHierarchies count="58">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fieldsUsage count="2">
        <fieldUsage x="-1"/>
        <fieldUsage x="0"/>
      </fieldsUsage>
    </cacheHierarchy>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y uniqueName="[Measures].[Sum of CSR Total - 2001]" caption="Sum of CSR Total - 2001" measure="1" displayFolder="" measureGroup="CSR" count="0" hidden="1">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hidden="1">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hidden="1">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hidden="1">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hidden="1">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hidden="1">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hidden="1">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hidden="1">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hidden="1">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hidden="1">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hidden="1">
      <extLst>
        <ext xmlns:x15="http://schemas.microsoft.com/office/spreadsheetml/2010/11/main" uri="{B97F6D7D-B522-45F9-BDA1-12C45D357490}">
          <x15:cacheHierarchy aggregatedColumn="37"/>
        </ext>
      </extLst>
    </cacheHierarchy>
    <cacheHierarchy uniqueName="[Measures].[Sum of D^2]" caption="Sum of D^2" measure="1" displayFolder="" measureGroup="Table5" count="0" hidden="1">
      <extLst>
        <ext xmlns:x15="http://schemas.microsoft.com/office/spreadsheetml/2010/11/main" uri="{B97F6D7D-B522-45F9-BDA1-12C45D357490}">
          <x15:cacheHierarchy aggregatedColumn="38"/>
        </ext>
      </extLst>
    </cacheHierarchy>
  </cacheHierarchies>
  <kpis count="0"/>
  <dimensions count="6">
    <dimension name="CSR" uniqueName="[CSR]" caption="CSR"/>
    <dimension measure="1" name="Measures" uniqueName="[Measures]" caption="Measures"/>
    <dimension name="SexRatio" uniqueName="[SexRatio]" caption="SexRatio"/>
    <dimension name="Table3" uniqueName="[Table3]" caption="Table3"/>
    <dimension name="Table4" uniqueName="[Table4]" caption="Table4"/>
    <dimension name="Table5" uniqueName="[Table5]" caption="Table5"/>
  </dimensions>
  <measureGroups count="5">
    <measureGroup name="CSR" caption="CSR"/>
    <measureGroup name="SexRatio" caption="SexRatio"/>
    <measureGroup name="Table3" caption="Table3"/>
    <measureGroup name="Table4" caption="Table4"/>
    <measureGroup name="Table5" caption="Table5"/>
  </measureGroups>
  <maps count="9">
    <map measureGroup="0" dimension="0"/>
    <map measureGroup="0" dimension="2"/>
    <map measureGroup="1" dimension="2"/>
    <map measureGroup="2" dimension="2"/>
    <map measureGroup="2" dimension="3"/>
    <map measureGroup="3" dimension="2"/>
    <map measureGroup="3" dimension="4"/>
    <map measureGroup="4" dimension="2"/>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yam jat" refreshedDate="43787.73715833333" backgroundQuery="1" createdVersion="6" refreshedVersion="6" minRefreshableVersion="3" recordCount="0" supportSubquery="1" supportAdvancedDrill="1" xr:uid="{56920F4B-CB0D-4825-8E37-11A3FE7890B6}">
  <cacheSource type="external" connectionId="1"/>
  <cacheFields count="2">
    <cacheField name="[SexRatio].[Sub-category].[Sub-category]" caption="Sub-category" numFmtId="0" hierarchy="12" level="1">
      <sharedItems count="5">
        <s v="Andhra Pradesh"/>
        <s v="Chhattisgarh"/>
        <s v="Kerala"/>
        <s v="Puducherry"/>
        <s v="Tamil Nadu"/>
      </sharedItems>
    </cacheField>
    <cacheField name="[Measures].[Sum of Total - 2011]" caption="Sum of Total - 2011" numFmtId="0" hierarchy="48" level="32767"/>
  </cacheFields>
  <cacheHierarchies count="58">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fieldsUsage count="2">
        <fieldUsage x="-1"/>
        <fieldUsage x="0"/>
      </fieldsUsage>
    </cacheHierarchy>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y uniqueName="[Measures].[Sum of CSR Total - 2001]" caption="Sum of CSR Total - 2001" measure="1" displayFolder="" measureGroup="CSR" count="0" hidden="1">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hidden="1">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hidden="1">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oneField="1" hidden="1">
      <fieldsUsage count="1">
        <fieldUsage x="1"/>
      </fieldsUsage>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hidden="1">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hidden="1">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hidden="1">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hidden="1">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hidden="1">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hidden="1">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hidden="1">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hidden="1">
      <extLst>
        <ext xmlns:x15="http://schemas.microsoft.com/office/spreadsheetml/2010/11/main" uri="{B97F6D7D-B522-45F9-BDA1-12C45D357490}">
          <x15:cacheHierarchy aggregatedColumn="37"/>
        </ext>
      </extLst>
    </cacheHierarchy>
    <cacheHierarchy uniqueName="[Measures].[Sum of D^2]" caption="Sum of D^2" measure="1" displayFolder="" measureGroup="Table5" count="0" hidden="1">
      <extLst>
        <ext xmlns:x15="http://schemas.microsoft.com/office/spreadsheetml/2010/11/main" uri="{B97F6D7D-B522-45F9-BDA1-12C45D357490}">
          <x15:cacheHierarchy aggregatedColumn="38"/>
        </ext>
      </extLst>
    </cacheHierarchy>
  </cacheHierarchies>
  <kpis count="0"/>
  <dimensions count="6">
    <dimension name="CSR" uniqueName="[CSR]" caption="CSR"/>
    <dimension measure="1" name="Measures" uniqueName="[Measures]" caption="Measures"/>
    <dimension name="SexRatio" uniqueName="[SexRatio]" caption="SexRatio"/>
    <dimension name="Table3" uniqueName="[Table3]" caption="Table3"/>
    <dimension name="Table4" uniqueName="[Table4]" caption="Table4"/>
    <dimension name="Table5" uniqueName="[Table5]" caption="Table5"/>
  </dimensions>
  <measureGroups count="5">
    <measureGroup name="CSR" caption="CSR"/>
    <measureGroup name="SexRatio" caption="SexRatio"/>
    <measureGroup name="Table3" caption="Table3"/>
    <measureGroup name="Table4" caption="Table4"/>
    <measureGroup name="Table5" caption="Table5"/>
  </measureGroups>
  <maps count="9">
    <map measureGroup="0" dimension="0"/>
    <map measureGroup="0" dimension="2"/>
    <map measureGroup="1" dimension="2"/>
    <map measureGroup="2" dimension="2"/>
    <map measureGroup="2" dimension="3"/>
    <map measureGroup="3" dimension="2"/>
    <map measureGroup="3" dimension="4"/>
    <map measureGroup="4" dimension="2"/>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rahmajit Mohapatra" refreshedDate="44180.433705902775" backgroundQuery="1" createdVersion="5" refreshedVersion="6" minRefreshableVersion="3" recordCount="0" supportSubquery="1" supportAdvancedDrill="1" xr:uid="{00000000-000A-0000-FFFF-FFFF03000000}">
  <cacheSource type="external" connectionId="1"/>
  <cacheFields count="3">
    <cacheField name="[Table5].[Sub-category].[Sub-category]" caption="Sub-category" numFmtId="0" hierarchy="33" level="1">
      <sharedItems count="35">
        <s v="A &amp; N Islands"/>
        <s v="Andhra Pradesh"/>
        <s v="Arunachal Pradesh"/>
        <s v="Assam"/>
        <s v="Bihar"/>
        <s v="Chandigarh"/>
        <s v="Chhattisgarh"/>
        <s v="D &amp; N Haveli"/>
        <s v="Daman &amp; Diu"/>
        <s v="Goa"/>
        <s v="Gujarat"/>
        <s v="Haryana"/>
        <s v="Himachal Pradesh"/>
        <s v="Jammu &amp; Kashmir"/>
        <s v="Jharkhand"/>
        <s v="Karnataka"/>
        <s v="Kerala"/>
        <s v="Lakshadweep"/>
        <s v="Madhya Pradesh"/>
        <s v="Maharashtra"/>
        <s v="Manipur"/>
        <s v="Meghalaya"/>
        <s v="Mizoram"/>
        <s v="Nagaland"/>
        <s v="NCT of Delhi"/>
        <s v="Odisha"/>
        <s v="Puducherry"/>
        <s v="Punjab"/>
        <s v="Rajasthan"/>
        <s v="Sikkim"/>
        <s v="Tamil Nadu"/>
        <s v="Tripura"/>
        <s v="Uttar Pradesh"/>
        <s v="Uttarakhand"/>
        <s v="West Bengal"/>
      </sharedItems>
    </cacheField>
    <cacheField name="[Measures].[Sum of RANK(LR)]" caption="Sum of RANK(LR)" numFmtId="0" hierarchy="55" level="32767"/>
    <cacheField name="[Measures].[Sum of RANK(SR)]" caption="Sum of RANK(SR)" numFmtId="0" hierarchy="56" level="32767"/>
  </cacheFields>
  <cacheHierarchies count="58">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2" memberValueDatatype="130" unbalanced="0">
      <fieldsUsage count="2">
        <fieldUsage x="-1"/>
        <fieldUsage x="0"/>
      </fieldsUsage>
    </cacheHierarchy>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y uniqueName="[Measures].[Sum of CSR Total - 2001]" caption="Sum of CSR Total - 2001" measure="1" displayFolder="" measureGroup="CSR" count="0" hidden="1">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hidden="1">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hidden="1">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hidden="1">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hidden="1">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hidden="1">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hidden="1">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hidden="1">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hidden="1">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hidden="1">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oneField="1" hidden="1">
      <fieldsUsage count="1">
        <fieldUsage x="1"/>
      </fieldsUsage>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oneField="1" hidden="1">
      <fieldsUsage count="1">
        <fieldUsage x="2"/>
      </fieldsUsage>
      <extLst>
        <ext xmlns:x15="http://schemas.microsoft.com/office/spreadsheetml/2010/11/main" uri="{B97F6D7D-B522-45F9-BDA1-12C45D357490}">
          <x15:cacheHierarchy aggregatedColumn="37"/>
        </ext>
      </extLst>
    </cacheHierarchy>
    <cacheHierarchy uniqueName="[Measures].[Sum of D^2]" caption="Sum of D^2" measure="1" displayFolder="" measureGroup="Table5" count="0" hidden="1">
      <extLst>
        <ext xmlns:x15="http://schemas.microsoft.com/office/spreadsheetml/2010/11/main" uri="{B97F6D7D-B522-45F9-BDA1-12C45D357490}">
          <x15:cacheHierarchy aggregatedColumn="38"/>
        </ext>
      </extLst>
    </cacheHierarchy>
  </cacheHierarchies>
  <kpis count="0"/>
  <dimensions count="6">
    <dimension name="CSR" uniqueName="[CSR]" caption="CSR"/>
    <dimension measure="1" name="Measures" uniqueName="[Measures]" caption="Measures"/>
    <dimension name="SexRatio" uniqueName="[SexRatio]" caption="SexRatio"/>
    <dimension name="Table3" uniqueName="[Table3]" caption="Table3"/>
    <dimension name="Table4" uniqueName="[Table4]" caption="Table4"/>
    <dimension name="Table5" uniqueName="[Table5]" caption="Table5"/>
  </dimensions>
  <measureGroups count="5">
    <measureGroup name="CSR" caption="CSR"/>
    <measureGroup name="SexRatio" caption="SexRatio"/>
    <measureGroup name="Table3" caption="Table3"/>
    <measureGroup name="Table4" caption="Table4"/>
    <measureGroup name="Table5" caption="Table5"/>
  </measureGroups>
  <maps count="9">
    <map measureGroup="0" dimension="0"/>
    <map measureGroup="0" dimension="2"/>
    <map measureGroup="1" dimension="2"/>
    <map measureGroup="2" dimension="2"/>
    <map measureGroup="2" dimension="3"/>
    <map measureGroup="3" dimension="2"/>
    <map measureGroup="3" dimension="4"/>
    <map measureGroup="4" dimension="2"/>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3421.605588541664" backgroundQuery="1" createdVersion="3" refreshedVersion="5" minRefreshableVersion="3" recordCount="0" supportSubquery="1" supportAdvancedDrill="1" xr:uid="{00000000-000A-0000-FFFF-FFFF05000000}">
  <cacheSource type="external" connectionId="1">
    <extLst>
      <ext xmlns:x14="http://schemas.microsoft.com/office/spreadsheetml/2009/9/main" uri="{F057638F-6D5F-4e77-A914-E7F072B9BCA8}">
        <x14:sourceConnection name="ThisWorkbookDataModel"/>
      </ext>
    </extLst>
  </cacheSource>
  <cacheFields count="0"/>
  <cacheHierarchies count="57">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0" memberValueDatatype="130" unbalanced="0"/>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2"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Sum of CSR Total - 2001]" caption="Sum of CSR Total - 2001" measure="1" displayFolder="" measureGroup="CSR" count="0">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extLst>
        <ext xmlns:x15="http://schemas.microsoft.com/office/spreadsheetml/2010/11/main" uri="{B97F6D7D-B522-45F9-BDA1-12C45D357490}">
          <x15:cacheHierarchy aggregatedColumn="37"/>
        </ext>
      </extLst>
    </cacheHierarchy>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28"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3421.605602083335" backgroundQuery="1" createdVersion="3" refreshedVersion="5" minRefreshableVersion="3" recordCount="0" supportSubquery="1" supportAdvancedDrill="1" xr:uid="{00000000-000A-0000-FFFF-FFFF06000000}">
  <cacheSource type="external" connectionId="1">
    <extLst>
      <ext xmlns:x14="http://schemas.microsoft.com/office/spreadsheetml/2009/9/main" uri="{F057638F-6D5F-4e77-A914-E7F072B9BCA8}">
        <x14:sourceConnection name="ThisWorkbookDataModel"/>
      </ext>
    </extLst>
  </cacheSource>
  <cacheFields count="0"/>
  <cacheHierarchies count="57">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Sum of CSR Total - 2001]" caption="Sum of CSR Total - 2001" measure="1" displayFolder="" measureGroup="CSR" count="0">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extLst>
        <ext xmlns:x15="http://schemas.microsoft.com/office/spreadsheetml/2010/11/main" uri="{B97F6D7D-B522-45F9-BDA1-12C45D357490}">
          <x15:cacheHierarchy aggregatedColumn="37"/>
        </ext>
      </extLst>
    </cacheHierarchy>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29"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OME" refreshedDate="43421.605612615742" backgroundQuery="1" createdVersion="3" refreshedVersion="5" minRefreshableVersion="3" recordCount="0" supportSubquery="1" supportAdvancedDrill="1" xr:uid="{00000000-000A-0000-FFFF-FFFF07000000}">
  <cacheSource type="external" connectionId="1">
    <extLst>
      <ext xmlns:x14="http://schemas.microsoft.com/office/spreadsheetml/2009/9/main" uri="{F057638F-6D5F-4e77-A914-E7F072B9BCA8}">
        <x14:sourceConnection name="ThisWorkbookDataModel"/>
      </ext>
    </extLst>
  </cacheSource>
  <cacheFields count="0"/>
  <cacheHierarchies count="57">
    <cacheHierarchy uniqueName="[CSR].[Category]" caption="Category" attribute="1" defaultMemberUniqueName="[CSR].[Category].[All]" allUniqueName="[CSR].[Category].[All]" dimensionUniqueName="[CSR]" displayFolder="" count="0" memberValueDatatype="130" unbalanced="0"/>
    <cacheHierarchy uniqueName="[CSR].[Sub-category]" caption="Sub-category" attribute="1" defaultMemberUniqueName="[CSR].[Sub-category].[All]" allUniqueName="[CSR].[Sub-category].[All]" dimensionUniqueName="[CSR]" displayFolder="" count="0" memberValueDatatype="130" unbalanced="0"/>
    <cacheHierarchy uniqueName="[CSR].[CSR Total - 2001]" caption="CSR Total - 2001" attribute="1" defaultMemberUniqueName="[CSR].[CSR Total - 2001].[All]" allUniqueName="[CSR].[CSR Total - 2001].[All]" dimensionUniqueName="[CSR]" displayFolder="" count="0" memberValueDatatype="20" unbalanced="0"/>
    <cacheHierarchy uniqueName="[CSR].[CSR Total - 2011]" caption="CSR Total - 2011" attribute="1" defaultMemberUniqueName="[CSR].[CSR Total - 2011].[All]" allUniqueName="[CSR].[CSR Total - 2011].[All]" dimensionUniqueName="[CSR]" displayFolder="" count="0" memberValueDatatype="20" unbalanced="0"/>
    <cacheHierarchy uniqueName="[CSR].[CSR Rural - 2001]" caption="CSR Rural - 2001" attribute="1" defaultMemberUniqueName="[CSR].[CSR Rural - 2001].[All]" allUniqueName="[CSR].[CSR Rural - 2001].[All]" dimensionUniqueName="[CSR]" displayFolder="" count="0" memberValueDatatype="20" unbalanced="0"/>
    <cacheHierarchy uniqueName="[CSR].[CSR Rural - 2011]" caption="CSR Rural - 2011" attribute="1" defaultMemberUniqueName="[CSR].[CSR Rural - 2011].[All]" allUniqueName="[CSR].[CSR Rural - 2011].[All]" dimensionUniqueName="[CSR]" displayFolder="" count="0" memberValueDatatype="20" unbalanced="0"/>
    <cacheHierarchy uniqueName="[CSR].[CSR Urban - 2001]" caption="CSR Urban - 2001" attribute="1" defaultMemberUniqueName="[CSR].[CSR Urban - 2001].[All]" allUniqueName="[CSR].[CSR Urban - 2001].[All]" dimensionUniqueName="[CSR]" displayFolder="" count="0" memberValueDatatype="20" unbalanced="0"/>
    <cacheHierarchy uniqueName="[CSR].[CSR Urban - 2011]" caption="CSR Urban - 2011" attribute="1" defaultMemberUniqueName="[CSR].[CSR Urban - 2011].[All]" allUniqueName="[CSR].[CSR Urban - 2011].[All]" dimensionUniqueName="[CSR]" displayFolder="" count="0" memberValueDatatype="20" unbalanced="0"/>
    <cacheHierarchy uniqueName="[CSR].[% CHANGE From SR-2011]" caption="% CHANGE From SR-2011" attribute="1" defaultMemberUniqueName="[CSR].[% CHANGE From SR-2011].[All]" allUniqueName="[CSR].[% CHANGE From SR-2011].[All]" dimensionUniqueName="[CSR]" displayFolder="" count="0" memberValueDatatype="5" unbalanced="0"/>
    <cacheHierarchy uniqueName="[CSR].[% CHANGE FROM SR-2001]" caption="% CHANGE FROM SR-2001" attribute="1" defaultMemberUniqueName="[CSR].[% CHANGE FROM SR-2001].[All]" allUniqueName="[CSR].[% CHANGE FROM SR-2001].[All]" dimensionUniqueName="[CSR]" displayFolder="" count="0" memberValueDatatype="5" unbalanced="0"/>
    <cacheHierarchy uniqueName="[SexRatio].[Category]" caption="Category" attribute="1" defaultMemberUniqueName="[SexRatio].[Category].[All]" allUniqueName="[SexRatio].[Category].[All]" dimensionUniqueName="[SexRatio]" displayFolder="" count="0" memberValueDatatype="130" unbalanced="0"/>
    <cacheHierarchy uniqueName="[SexRatio].[ZONES]" caption="ZONES" attribute="1" defaultMemberUniqueName="[SexRatio].[ZONES].[All]" allUniqueName="[SexRatio].[ZONES].[All]" dimensionUniqueName="[SexRatio]" displayFolder="" count="0" memberValueDatatype="130" unbalanced="0"/>
    <cacheHierarchy uniqueName="[SexRatio].[Sub-category]" caption="Sub-category" attribute="1" defaultMemberUniqueName="[SexRatio].[Sub-category].[All]" allUniqueName="[SexRatio].[Sub-category].[All]" dimensionUniqueName="[SexRatio]" displayFolder="" count="2" memberValueDatatype="130" unbalanced="0"/>
    <cacheHierarchy uniqueName="[SexRatio].[Total - 2001]" caption="Total - 2001" attribute="1" defaultMemberUniqueName="[SexRatio].[Total - 2001].[All]" allUniqueName="[SexRatio].[Total - 2001].[All]" dimensionUniqueName="[SexRatio]" displayFolder="" count="0" memberValueDatatype="20" unbalanced="0"/>
    <cacheHierarchy uniqueName="[SexRatio].[Total - 2011]" caption="Total - 2011" attribute="1" defaultMemberUniqueName="[SexRatio].[Total - 2011].[All]" allUniqueName="[SexRatio].[Total - 2011].[All]" dimensionUniqueName="[SexRatio]" displayFolder="" count="0" memberValueDatatype="20" unbalanced="0"/>
    <cacheHierarchy uniqueName="[SexRatio].[Rural - 2001]" caption="Rural - 2001" attribute="1" defaultMemberUniqueName="[SexRatio].[Rural - 2001].[All]" allUniqueName="[SexRatio].[Rural - 2001].[All]" dimensionUniqueName="[SexRatio]" displayFolder="" count="0" memberValueDatatype="20" unbalanced="0"/>
    <cacheHierarchy uniqueName="[SexRatio].[Rural - 2011]" caption="Rural - 2011" attribute="1" defaultMemberUniqueName="[SexRatio].[Rural - 2011].[All]" allUniqueName="[SexRatio].[Rural - 2011].[All]" dimensionUniqueName="[SexRatio]" displayFolder="" count="0" memberValueDatatype="20" unbalanced="0"/>
    <cacheHierarchy uniqueName="[SexRatio].[Urban - 2001]" caption="Urban - 2001" attribute="1" defaultMemberUniqueName="[SexRatio].[Urban - 2001].[All]" allUniqueName="[SexRatio].[Urban - 2001].[All]" dimensionUniqueName="[SexRatio]" displayFolder="" count="0" memberValueDatatype="20" unbalanced="0"/>
    <cacheHierarchy uniqueName="[SexRatio].[Urban - 2011]" caption="Urban - 2011" attribute="1" defaultMemberUniqueName="[SexRatio].[Urban - 2011].[All]" allUniqueName="[SexRatio].[Urban - 2011].[All]" dimensionUniqueName="[SexRatio]" displayFolder="" count="0" memberValueDatatype="20" unbalanced="0"/>
    <cacheHierarchy uniqueName="[Table3].[Category]" caption="Category" attribute="1" defaultMemberUniqueName="[Table3].[Category].[All]" allUniqueName="[Table3].[Category].[All]" dimensionUniqueName="[Table3]" displayFolder="" count="0" memberValueDatatype="130" unbalanced="0"/>
    <cacheHierarchy uniqueName="[Table3].[Sub-category]" caption="Sub-category" attribute="1" defaultMemberUniqueName="[Table3].[Sub-category].[All]" allUniqueName="[Table3].[Sub-category].[All]" dimensionUniqueName="[Table3]" displayFolder="" count="0" memberValueDatatype="130" unbalanced="0"/>
    <cacheHierarchy uniqueName="[Table3].[Literacy Rate-2001]" caption="Literacy Rate-2001" attribute="1" defaultMemberUniqueName="[Table3].[Literacy Rate-2001].[All]" allUniqueName="[Table3].[Literacy Rate-2001].[All]" dimensionUniqueName="[Table3]" displayFolder="" count="0" memberValueDatatype="5" unbalanced="0"/>
    <cacheHierarchy uniqueName="[Table3].[Literacy Rate-2011]" caption="Literacy Rate-2011" attribute="1" defaultMemberUniqueName="[Table3].[Literacy Rate-2011].[All]" allUniqueName="[Table3].[Literacy Rate-2011].[All]" dimensionUniqueName="[Table3]" displayFolder="" count="0" memberValueDatatype="5" unbalanced="0"/>
    <cacheHierarchy uniqueName="[Table4].[Category]" caption="Category" attribute="1" defaultMemberUniqueName="[Table4].[Category].[All]" allUniqueName="[Table4].[Category].[All]" dimensionUniqueName="[Table4]" displayFolder="" count="0" memberValueDatatype="130" unbalanced="0"/>
    <cacheHierarchy uniqueName="[Table4].[ZONES]" caption="ZONES" attribute="1" defaultMemberUniqueName="[Table4].[ZONES].[All]" allUniqueName="[Table4].[ZONES].[All]" dimensionUniqueName="[Table4]" displayFolder="" count="0" memberValueDatatype="130" unbalanced="0"/>
    <cacheHierarchy uniqueName="[Table4].[Sub-category]" caption="Sub-category" attribute="1" defaultMemberUniqueName="[Table4].[Sub-category].[All]" allUniqueName="[Table4].[Sub-category].[All]" dimensionUniqueName="[Table4]" displayFolder="" count="0" memberValueDatatype="130" unbalanced="0"/>
    <cacheHierarchy uniqueName="[Table4].[Total - 2001]" caption="Total - 2001" attribute="1" defaultMemberUniqueName="[Table4].[Total - 2001].[All]" allUniqueName="[Table4].[Total - 2001].[All]" dimensionUniqueName="[Table4]" displayFolder="" count="0" memberValueDatatype="20" unbalanced="0"/>
    <cacheHierarchy uniqueName="[Table4].[Total - 2011]" caption="Total - 2011" attribute="1" defaultMemberUniqueName="[Table4].[Total - 2011].[All]" allUniqueName="[Table4].[Total - 2011].[All]" dimensionUniqueName="[Table4]" displayFolder="" count="0" memberValueDatatype="20" unbalanced="0"/>
    <cacheHierarchy uniqueName="[Table4].[Difference]" caption="Difference" attribute="1" defaultMemberUniqueName="[Table4].[Difference].[All]" allUniqueName="[Table4].[Difference].[All]" dimensionUniqueName="[Table4]" displayFolder="" count="0" memberValueDatatype="20" unbalanced="0"/>
    <cacheHierarchy uniqueName="[Table4].[DGR -2001-11]" caption="DGR -2001-11" attribute="1" defaultMemberUniqueName="[Table4].[DGR -2001-11].[All]" allUniqueName="[Table4].[DGR -2001-11].[All]" dimensionUniqueName="[Table4]" displayFolder="" count="0" memberValueDatatype="5" unbalanced="0"/>
    <cacheHierarchy uniqueName="[Table4].[RANK DIFF.]" caption="RANK DIFF." attribute="1" defaultMemberUniqueName="[Table4].[RANK DIFF.].[All]" allUniqueName="[Table4].[RANK DIFF.].[All]" dimensionUniqueName="[Table4]" displayFolder="" count="0" memberValueDatatype="5" unbalanced="0"/>
    <cacheHierarchy uniqueName="[Table4].[RANK DGR]" caption="RANK DGR" attribute="1" defaultMemberUniqueName="[Table4].[RANK DGR].[All]" allUniqueName="[Table4].[RANK DGR].[All]" dimensionUniqueName="[Table4]" displayFolder="" count="0" memberValueDatatype="5" unbalanced="0"/>
    <cacheHierarchy uniqueName="[Table4].[(RANK DGR-RANK DIFF.)^2]" caption="(RANK DGR-RANK DIFF.)^2" attribute="1" defaultMemberUniqueName="[Table4].[(RANK DGR-RANK DIFF.)^2].[All]" allUniqueName="[Table4].[(RANK DGR-RANK DIFF.)^2].[All]" dimensionUniqueName="[Table4]" displayFolder="" count="0" memberValueDatatype="5" unbalanced="0"/>
    <cacheHierarchy uniqueName="[Table5].[Sub-category]" caption="Sub-category" attribute="1" defaultMemberUniqueName="[Table5].[Sub-category].[All]" allUniqueName="[Table5].[Sub-category].[All]" dimensionUniqueName="[Table5]" displayFolder="" count="0" memberValueDatatype="130" unbalanced="0"/>
    <cacheHierarchy uniqueName="[Table5].[Literacy Rate-2011]" caption="Literacy Rate-2011" attribute="1" defaultMemberUniqueName="[Table5].[Literacy Rate-2011].[All]" allUniqueName="[Table5].[Literacy Rate-2011].[All]" dimensionUniqueName="[Table5]" displayFolder="" count="0" memberValueDatatype="5" unbalanced="0"/>
    <cacheHierarchy uniqueName="[Table5].[Total - 2011]" caption="Total - 2011" attribute="1" defaultMemberUniqueName="[Table5].[Total - 2011].[All]" allUniqueName="[Table5].[Total - 2011].[All]" dimensionUniqueName="[Table5]" displayFolder="" count="0" memberValueDatatype="20" unbalanced="0"/>
    <cacheHierarchy uniqueName="[Table5].[RANK(L.R.)]" caption="RANK(L.R.)" attribute="1" defaultMemberUniqueName="[Table5].[RANK(L.R.)].[All]" allUniqueName="[Table5].[RANK(L.R.)].[All]" dimensionUniqueName="[Table5]" displayFolder="" count="0" memberValueDatatype="20" unbalanced="0"/>
    <cacheHierarchy uniqueName="[Table5].[RANK(S.R.)]" caption="RANK(S.R.)" attribute="1" defaultMemberUniqueName="[Table5].[RANK(S.R.)].[All]" allUniqueName="[Table5].[RANK(S.R.)].[All]" dimensionUniqueName="[Table5]" displayFolder="" count="0" memberValueDatatype="20" unbalanced="0"/>
    <cacheHierarchy uniqueName="[Table5].[D^2]" caption="D^2" attribute="1" defaultMemberUniqueName="[Table5].[D^2].[All]" allUniqueName="[Table5].[D^2].[All]" dimensionUniqueName="[Table5]" displayFolder="" count="0" memberValueDatatype="20" unbalanced="0"/>
    <cacheHierarchy uniqueName="[Measures].[Sum of CSR Total - 2001]" caption="Sum of CSR Total - 2001" measure="1" displayFolder="" measureGroup="CSR" count="0">
      <extLst>
        <ext xmlns:x15="http://schemas.microsoft.com/office/spreadsheetml/2010/11/main" uri="{B97F6D7D-B522-45F9-BDA1-12C45D357490}">
          <x15:cacheHierarchy aggregatedColumn="2"/>
        </ext>
      </extLst>
    </cacheHierarchy>
    <cacheHierarchy uniqueName="[Measures].[Sum of CSR Total - 2011]" caption="Sum of CSR Total - 2011" measure="1" displayFolder="" measureGroup="CSR" count="0">
      <extLst>
        <ext xmlns:x15="http://schemas.microsoft.com/office/spreadsheetml/2010/11/main" uri="{B97F6D7D-B522-45F9-BDA1-12C45D357490}">
          <x15:cacheHierarchy aggregatedColumn="3"/>
        </ext>
      </extLst>
    </cacheHierarchy>
    <cacheHierarchy uniqueName="[Measures].[Sum of Total - 2001]" caption="Sum of Total - 2001" measure="1" displayFolder="" measureGroup="SexRatio" count="0">
      <extLst>
        <ext xmlns:x15="http://schemas.microsoft.com/office/spreadsheetml/2010/11/main" uri="{B97F6D7D-B522-45F9-BDA1-12C45D357490}">
          <x15:cacheHierarchy aggregatedColumn="13"/>
        </ext>
      </extLst>
    </cacheHierarchy>
    <cacheHierarchy uniqueName="[Measures].[Sum of Total - 2011]" caption="Sum of Total - 2011" measure="1" displayFolder="" measureGroup="SexRatio" count="0">
      <extLst>
        <ext xmlns:x15="http://schemas.microsoft.com/office/spreadsheetml/2010/11/main" uri="{B97F6D7D-B522-45F9-BDA1-12C45D357490}">
          <x15:cacheHierarchy aggregatedColumn="14"/>
        </ext>
      </extLst>
    </cacheHierarchy>
    <cacheHierarchy uniqueName="[Measures].[Count of Total - 2001]" caption="Count of Total - 2001" measure="1" displayFolder="" measureGroup="SexRatio" count="0">
      <extLst>
        <ext xmlns:x15="http://schemas.microsoft.com/office/spreadsheetml/2010/11/main" uri="{B97F6D7D-B522-45F9-BDA1-12C45D357490}">
          <x15:cacheHierarchy aggregatedColumn="13"/>
        </ext>
      </extLst>
    </cacheHierarchy>
    <cacheHierarchy uniqueName="[Measures].[Var of Total - 2001]" caption="Var of Total - 2001" measure="1" displayFolder="" measureGroup="SexRatio" count="0">
      <extLst>
        <ext xmlns:x15="http://schemas.microsoft.com/office/spreadsheetml/2010/11/main" uri="{B97F6D7D-B522-45F9-BDA1-12C45D357490}">
          <x15:cacheHierarchy aggregatedColumn="13"/>
        </ext>
      </extLst>
    </cacheHierarchy>
    <cacheHierarchy uniqueName="[Measures].[Sum of Literacy Rate-2001]" caption="Sum of Literacy Rate-2001" measure="1" displayFolder="" measureGroup="Table3" count="0">
      <extLst>
        <ext xmlns:x15="http://schemas.microsoft.com/office/spreadsheetml/2010/11/main" uri="{B97F6D7D-B522-45F9-BDA1-12C45D357490}">
          <x15:cacheHierarchy aggregatedColumn="21"/>
        </ext>
      </extLst>
    </cacheHierarchy>
    <cacheHierarchy uniqueName="[Measures].[Sum of Literacy Rate-2011]" caption="Sum of Literacy Rate-2011" measure="1" displayFolder="" measureGroup="Table3" count="0">
      <extLst>
        <ext xmlns:x15="http://schemas.microsoft.com/office/spreadsheetml/2010/11/main" uri="{B97F6D7D-B522-45F9-BDA1-12C45D357490}">
          <x15:cacheHierarchy aggregatedColumn="22"/>
        </ext>
      </extLst>
    </cacheHierarchy>
    <cacheHierarchy uniqueName="[Measures].[Sum of RANK DIFF]" caption="Sum of RANK DIFF" measure="1" displayFolder="" measureGroup="Table4" count="0">
      <extLst>
        <ext xmlns:x15="http://schemas.microsoft.com/office/spreadsheetml/2010/11/main" uri="{B97F6D7D-B522-45F9-BDA1-12C45D357490}">
          <x15:cacheHierarchy aggregatedColumn="30"/>
        </ext>
      </extLst>
    </cacheHierarchy>
    <cacheHierarchy uniqueName="[Measures].[Sum of RANK DGR]" caption="Sum of RANK DGR" measure="1" displayFolder="" measureGroup="Table4" count="0">
      <extLst>
        <ext xmlns:x15="http://schemas.microsoft.com/office/spreadsheetml/2010/11/main" uri="{B97F6D7D-B522-45F9-BDA1-12C45D357490}">
          <x15:cacheHierarchy aggregatedColumn="31"/>
        </ext>
      </extLst>
    </cacheHierarchy>
    <cacheHierarchy uniqueName="[Measures].[Sum of RANK(LR)]" caption="Sum of RANK(LR)" measure="1" displayFolder="" measureGroup="Table5" count="0">
      <extLst>
        <ext xmlns:x15="http://schemas.microsoft.com/office/spreadsheetml/2010/11/main" uri="{B97F6D7D-B522-45F9-BDA1-12C45D357490}">
          <x15:cacheHierarchy aggregatedColumn="36"/>
        </ext>
      </extLst>
    </cacheHierarchy>
    <cacheHierarchy uniqueName="[Measures].[Sum of RANK(SR)]" caption="Sum of RANK(SR)" measure="1" displayFolder="" measureGroup="Table5" count="0">
      <extLst>
        <ext xmlns:x15="http://schemas.microsoft.com/office/spreadsheetml/2010/11/main" uri="{B97F6D7D-B522-45F9-BDA1-12C45D357490}">
          <x15:cacheHierarchy aggregatedColumn="37"/>
        </ext>
      </extLst>
    </cacheHierarchy>
    <cacheHierarchy uniqueName="[Measures].[__XL_Count CSR]" caption="__XL_Count CSR" measure="1" displayFolder="" measureGroup="CSR" count="0" hidden="1"/>
    <cacheHierarchy uniqueName="[Measures].[__XL_Count SexRatio]" caption="__XL_Count SexRatio" measure="1" displayFolder="" measureGroup="SexRatio" count="0" hidden="1"/>
    <cacheHierarchy uniqueName="[Measures].[__XL_Count Table3]" caption="__XL_Count Table3" measure="1" displayFolder="" measureGroup="Table3" count="0" hidden="1"/>
    <cacheHierarchy uniqueName="[Measures].[__XL_Count Table4]" caption="__XL_Count Table4" measure="1" displayFolder="" measureGroup="Table4" count="0" hidden="1"/>
    <cacheHierarchy uniqueName="[Measures].[__XL_Count Table5]" caption="__XL_Count Table5" measure="1" displayFolder="" measureGroup="Table5"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3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count="35">
  <r>
    <s v="Daman &amp; Diu"/>
    <n v="710"/>
    <n v="618"/>
    <n v="-92"/>
    <n v="53.8"/>
    <n v="35"/>
    <n v="2"/>
    <n v="1089"/>
  </r>
  <r>
    <s v="D &amp; N Haveli"/>
    <n v="812"/>
    <n v="774"/>
    <n v="-38"/>
    <n v="55.9"/>
    <n v="34"/>
    <n v="1"/>
    <n v="1089"/>
  </r>
  <r>
    <s v="Jammu &amp; Kashmir"/>
    <n v="892"/>
    <n v="889"/>
    <n v="-3"/>
    <n v="23.6"/>
    <n v="33"/>
    <n v="8"/>
    <n v="625"/>
  </r>
  <r>
    <s v="Lakshadweep"/>
    <n v="948"/>
    <n v="946"/>
    <n v="-2"/>
    <n v="6.3"/>
    <n v="32"/>
    <n v="33"/>
    <n v="1"/>
  </r>
  <r>
    <s v="Gujarat"/>
    <n v="920"/>
    <n v="919"/>
    <n v="-1"/>
    <n v="19.3"/>
    <n v="31.5"/>
    <n v="17"/>
    <n v="210.25"/>
  </r>
  <r>
    <s v="Bihar"/>
    <n v="919"/>
    <n v="918"/>
    <n v="-1"/>
    <n v="25.4"/>
    <n v="31.5"/>
    <n v="6"/>
    <n v="650.25"/>
  </r>
  <r>
    <s v="Uttarakhand"/>
    <n v="962"/>
    <n v="963"/>
    <n v="1"/>
    <n v="18.8"/>
    <n v="29"/>
    <n v="18"/>
    <n v="121"/>
  </r>
  <r>
    <s v="Chhattisgarh"/>
    <n v="989"/>
    <n v="991"/>
    <n v="2"/>
    <n v="22.6"/>
    <n v="28"/>
    <n v="10"/>
    <n v="324"/>
  </r>
  <r>
    <s v="Himachal Pradesh"/>
    <n v="968"/>
    <n v="972"/>
    <n v="4"/>
    <n v="12.9"/>
    <n v="27"/>
    <n v="29.5"/>
    <n v="6.25"/>
  </r>
  <r>
    <s v="Odisha"/>
    <n v="972"/>
    <n v="979"/>
    <n v="7"/>
    <n v="14"/>
    <n v="25"/>
    <n v="25"/>
    <n v="0"/>
  </r>
  <r>
    <s v="Maharashtra"/>
    <n v="922"/>
    <n v="929"/>
    <n v="7"/>
    <n v="16"/>
    <n v="25"/>
    <n v="21"/>
    <n v="16"/>
  </r>
  <r>
    <s v="Rajasthan"/>
    <n v="921"/>
    <n v="928"/>
    <n v="7"/>
    <n v="21.3"/>
    <n v="25"/>
    <n v="12"/>
    <n v="169"/>
  </r>
  <r>
    <s v="Jharkhand"/>
    <n v="941"/>
    <n v="948"/>
    <n v="7"/>
    <n v="22.4"/>
    <n v="25"/>
    <n v="11"/>
    <n v="196"/>
  </r>
  <r>
    <s v="Manipur"/>
    <n v="978"/>
    <n v="985"/>
    <n v="7"/>
    <n v="24.5"/>
    <n v="25"/>
    <n v="7"/>
    <n v="324"/>
  </r>
  <r>
    <s v="Karnataka"/>
    <n v="965"/>
    <n v="973"/>
    <n v="8"/>
    <n v="15.6"/>
    <n v="21"/>
    <n v="23.5"/>
    <n v="6.25"/>
  </r>
  <r>
    <s v="Tamil Nadu"/>
    <n v="987"/>
    <n v="996"/>
    <n v="9"/>
    <n v="15.6"/>
    <n v="20"/>
    <n v="23.5"/>
    <n v="12.25"/>
  </r>
  <r>
    <s v="Goa"/>
    <n v="961"/>
    <n v="973"/>
    <n v="12"/>
    <n v="8.1999999999999993"/>
    <n v="19"/>
    <n v="31"/>
    <n v="144"/>
  </r>
  <r>
    <s v="Tripura"/>
    <n v="948"/>
    <n v="960"/>
    <n v="12"/>
    <n v="14.8"/>
    <n v="19"/>
    <n v="24"/>
    <n v="25"/>
  </r>
  <r>
    <s v="Madhya Pradesh"/>
    <n v="919"/>
    <n v="931"/>
    <n v="12"/>
    <n v="20.3"/>
    <n v="19"/>
    <n v="14"/>
    <n v="25"/>
  </r>
  <r>
    <s v="Uttar Pradesh"/>
    <n v="898"/>
    <n v="912"/>
    <n v="14"/>
    <n v="20.2"/>
    <n v="16"/>
    <n v="15"/>
    <n v="1"/>
  </r>
  <r>
    <s v="Andhra Pradesh"/>
    <n v="978"/>
    <n v="993"/>
    <n v="15"/>
    <n v="11"/>
    <n v="15.5"/>
    <n v="30"/>
    <n v="210.25"/>
  </r>
  <r>
    <s v="Sikkim"/>
    <n v="875"/>
    <n v="890"/>
    <n v="15"/>
    <n v="12.9"/>
    <n v="15.5"/>
    <n v="29.5"/>
    <n v="196"/>
  </r>
  <r>
    <s v="West Bengal"/>
    <n v="934"/>
    <n v="950"/>
    <n v="16"/>
    <n v="13.8"/>
    <n v="13"/>
    <n v="27"/>
    <n v="196"/>
  </r>
  <r>
    <s v="Meghalaya"/>
    <n v="972"/>
    <n v="989"/>
    <n v="17"/>
    <n v="27.9"/>
    <n v="12"/>
    <n v="4"/>
    <n v="64"/>
  </r>
  <r>
    <s v="Haryana"/>
    <n v="861"/>
    <n v="879"/>
    <n v="18"/>
    <n v="19.899999999999999"/>
    <n v="11"/>
    <n v="16"/>
    <n v="25"/>
  </r>
  <r>
    <s v="Punjab"/>
    <n v="876"/>
    <n v="895"/>
    <n v="19"/>
    <n v="13.9"/>
    <n v="10"/>
    <n v="26"/>
    <n v="256"/>
  </r>
  <r>
    <s v="Assam"/>
    <n v="935"/>
    <n v="958"/>
    <n v="23"/>
    <n v="17.100000000000001"/>
    <n v="9"/>
    <n v="20"/>
    <n v="121"/>
  </r>
  <r>
    <s v="Kerala"/>
    <n v="1058"/>
    <n v="1084"/>
    <n v="26"/>
    <n v="4.9000000000000004"/>
    <n v="8"/>
    <n v="34"/>
    <n v="676"/>
  </r>
  <r>
    <s v="A &amp; N Islands"/>
    <n v="846"/>
    <n v="876"/>
    <n v="30"/>
    <n v="6.9"/>
    <n v="7"/>
    <n v="32"/>
    <n v="625"/>
  </r>
  <r>
    <s v="Nagaland"/>
    <n v="900"/>
    <n v="931"/>
    <n v="31"/>
    <n v="-0.6"/>
    <n v="6"/>
    <n v="35"/>
    <n v="841"/>
  </r>
  <r>
    <s v="Puducherry"/>
    <n v="1001"/>
    <n v="1037"/>
    <n v="36"/>
    <n v="28.1"/>
    <n v="5"/>
    <n v="3"/>
    <n v="4"/>
  </r>
  <r>
    <s v="Chandigarh"/>
    <n v="777"/>
    <n v="818"/>
    <n v="41"/>
    <n v="17.2"/>
    <n v="4.5"/>
    <n v="19"/>
    <n v="210.25"/>
  </r>
  <r>
    <s v="Mizoram"/>
    <n v="935"/>
    <n v="976"/>
    <n v="41"/>
    <n v="23.5"/>
    <n v="4.5"/>
    <n v="9"/>
    <n v="20.25"/>
  </r>
  <r>
    <s v="Arunachal Pradesh"/>
    <n v="893"/>
    <n v="938"/>
    <n v="45"/>
    <n v="26"/>
    <n v="2"/>
    <n v="5"/>
    <n v="9"/>
  </r>
  <r>
    <s v="NCT of Delhi"/>
    <n v="821"/>
    <n v="868"/>
    <n v="47"/>
    <n v="21.2"/>
    <n v="1"/>
    <n v="13"/>
    <n v="14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x v="0"/>
    <x v="0"/>
    <n v="933"/>
    <n v="943"/>
    <x v="0"/>
    <x v="0"/>
    <n v="900"/>
    <n v="929"/>
  </r>
  <r>
    <x v="1"/>
    <x v="1"/>
    <x v="1"/>
    <n v="978"/>
    <n v="993"/>
    <x v="1"/>
    <x v="1"/>
    <n v="965"/>
    <n v="987"/>
  </r>
  <r>
    <x v="1"/>
    <x v="2"/>
    <x v="2"/>
    <n v="893"/>
    <n v="938"/>
    <x v="2"/>
    <x v="2"/>
    <n v="819"/>
    <n v="890"/>
  </r>
  <r>
    <x v="1"/>
    <x v="2"/>
    <x v="3"/>
    <n v="935"/>
    <n v="958"/>
    <x v="3"/>
    <x v="3"/>
    <n v="872"/>
    <n v="946"/>
  </r>
  <r>
    <x v="1"/>
    <x v="3"/>
    <x v="4"/>
    <n v="919"/>
    <n v="918"/>
    <x v="4"/>
    <x v="4"/>
    <n v="868"/>
    <n v="895"/>
  </r>
  <r>
    <x v="1"/>
    <x v="4"/>
    <x v="5"/>
    <n v="989"/>
    <n v="991"/>
    <x v="5"/>
    <x v="5"/>
    <n v="932"/>
    <n v="956"/>
  </r>
  <r>
    <x v="1"/>
    <x v="5"/>
    <x v="6"/>
    <n v="961"/>
    <n v="973"/>
    <x v="6"/>
    <x v="6"/>
    <n v="934"/>
    <n v="956"/>
  </r>
  <r>
    <x v="1"/>
    <x v="5"/>
    <x v="7"/>
    <n v="920"/>
    <n v="919"/>
    <x v="7"/>
    <x v="0"/>
    <n v="880"/>
    <n v="880"/>
  </r>
  <r>
    <x v="1"/>
    <x v="6"/>
    <x v="8"/>
    <n v="861"/>
    <n v="879"/>
    <x v="8"/>
    <x v="7"/>
    <n v="847"/>
    <n v="873"/>
  </r>
  <r>
    <x v="1"/>
    <x v="6"/>
    <x v="9"/>
    <n v="968"/>
    <n v="972"/>
    <x v="9"/>
    <x v="8"/>
    <n v="795"/>
    <n v="853"/>
  </r>
  <r>
    <x v="1"/>
    <x v="6"/>
    <x v="10"/>
    <n v="892"/>
    <n v="889"/>
    <x v="10"/>
    <x v="9"/>
    <n v="819"/>
    <n v="840"/>
  </r>
  <r>
    <x v="1"/>
    <x v="3"/>
    <x v="11"/>
    <n v="941"/>
    <n v="948"/>
    <x v="11"/>
    <x v="10"/>
    <n v="870"/>
    <n v="910"/>
  </r>
  <r>
    <x v="1"/>
    <x v="1"/>
    <x v="12"/>
    <n v="965"/>
    <n v="973"/>
    <x v="12"/>
    <x v="11"/>
    <n v="942"/>
    <n v="963"/>
  </r>
  <r>
    <x v="1"/>
    <x v="1"/>
    <x v="13"/>
    <n v="1058"/>
    <n v="1084"/>
    <x v="13"/>
    <x v="12"/>
    <n v="1058"/>
    <n v="1091"/>
  </r>
  <r>
    <x v="1"/>
    <x v="4"/>
    <x v="14"/>
    <n v="919"/>
    <n v="931"/>
    <x v="14"/>
    <x v="13"/>
    <n v="898"/>
    <n v="918"/>
  </r>
  <r>
    <x v="1"/>
    <x v="5"/>
    <x v="15"/>
    <n v="922"/>
    <n v="929"/>
    <x v="15"/>
    <x v="14"/>
    <n v="873"/>
    <n v="903"/>
  </r>
  <r>
    <x v="1"/>
    <x v="2"/>
    <x v="16"/>
    <n v="978"/>
    <n v="985"/>
    <x v="16"/>
    <x v="15"/>
    <n v="1009"/>
    <n v="1026"/>
  </r>
  <r>
    <x v="1"/>
    <x v="2"/>
    <x v="17"/>
    <n v="972"/>
    <n v="989"/>
    <x v="17"/>
    <x v="8"/>
    <n v="982"/>
    <n v="1001"/>
  </r>
  <r>
    <x v="1"/>
    <x v="2"/>
    <x v="18"/>
    <n v="935"/>
    <n v="976"/>
    <x v="18"/>
    <x v="14"/>
    <n v="948"/>
    <n v="998"/>
  </r>
  <r>
    <x v="1"/>
    <x v="2"/>
    <x v="19"/>
    <n v="900"/>
    <n v="931"/>
    <x v="19"/>
    <x v="16"/>
    <n v="829"/>
    <n v="908"/>
  </r>
  <r>
    <x v="1"/>
    <x v="3"/>
    <x v="20"/>
    <n v="972"/>
    <n v="979"/>
    <x v="20"/>
    <x v="17"/>
    <n v="895"/>
    <n v="932"/>
  </r>
  <r>
    <x v="1"/>
    <x v="6"/>
    <x v="21"/>
    <n v="876"/>
    <n v="895"/>
    <x v="21"/>
    <x v="18"/>
    <n v="849"/>
    <n v="875"/>
  </r>
  <r>
    <x v="1"/>
    <x v="5"/>
    <x v="22"/>
    <n v="921"/>
    <n v="928"/>
    <x v="22"/>
    <x v="19"/>
    <n v="890"/>
    <n v="914"/>
  </r>
  <r>
    <x v="1"/>
    <x v="2"/>
    <x v="23"/>
    <n v="875"/>
    <n v="890"/>
    <x v="23"/>
    <x v="7"/>
    <n v="830"/>
    <n v="913"/>
  </r>
  <r>
    <x v="1"/>
    <x v="1"/>
    <x v="24"/>
    <n v="987"/>
    <n v="996"/>
    <x v="24"/>
    <x v="20"/>
    <n v="982"/>
    <n v="1000"/>
  </r>
  <r>
    <x v="1"/>
    <x v="2"/>
    <x v="25"/>
    <n v="948"/>
    <n v="960"/>
    <x v="0"/>
    <x v="21"/>
    <n v="959"/>
    <n v="973"/>
  </r>
  <r>
    <x v="1"/>
    <x v="6"/>
    <x v="26"/>
    <n v="898"/>
    <n v="912"/>
    <x v="25"/>
    <x v="22"/>
    <n v="876"/>
    <n v="894"/>
  </r>
  <r>
    <x v="1"/>
    <x v="6"/>
    <x v="27"/>
    <n v="962"/>
    <n v="963"/>
    <x v="26"/>
    <x v="23"/>
    <n v="845"/>
    <n v="884"/>
  </r>
  <r>
    <x v="1"/>
    <x v="3"/>
    <x v="28"/>
    <n v="934"/>
    <n v="950"/>
    <x v="27"/>
    <x v="2"/>
    <n v="893"/>
    <n v="944"/>
  </r>
  <r>
    <x v="2"/>
    <x v="7"/>
    <x v="29"/>
    <n v="846"/>
    <n v="876"/>
    <x v="28"/>
    <x v="24"/>
    <n v="815"/>
    <n v="874"/>
  </r>
  <r>
    <x v="2"/>
    <x v="7"/>
    <x v="30"/>
    <n v="777"/>
    <n v="818"/>
    <x v="29"/>
    <x v="25"/>
    <n v="796"/>
    <n v="822"/>
  </r>
  <r>
    <x v="2"/>
    <x v="7"/>
    <x v="31"/>
    <n v="812"/>
    <n v="774"/>
    <x v="30"/>
    <x v="26"/>
    <n v="691"/>
    <n v="682"/>
  </r>
  <r>
    <x v="2"/>
    <x v="7"/>
    <x v="32"/>
    <n v="710"/>
    <n v="618"/>
    <x v="31"/>
    <x v="27"/>
    <n v="984"/>
    <n v="551"/>
  </r>
  <r>
    <x v="2"/>
    <x v="7"/>
    <x v="33"/>
    <n v="948"/>
    <n v="946"/>
    <x v="32"/>
    <x v="14"/>
    <n v="935"/>
    <n v="945"/>
  </r>
  <r>
    <x v="2"/>
    <x v="7"/>
    <x v="34"/>
    <n v="821"/>
    <n v="868"/>
    <x v="33"/>
    <x v="28"/>
    <n v="822"/>
    <n v="868"/>
  </r>
  <r>
    <x v="2"/>
    <x v="7"/>
    <x v="35"/>
    <n v="1001"/>
    <n v="1037"/>
    <x v="34"/>
    <x v="29"/>
    <n v="1007"/>
    <n v="104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s v="Union Territory"/>
    <s v="U.T."/>
    <x v="0"/>
    <n v="710"/>
    <n v="618"/>
    <n v="-92"/>
    <n v="53.8"/>
    <n v="35"/>
    <n v="2"/>
    <n v="1089"/>
  </r>
  <r>
    <s v="Union Territory"/>
    <s v="U.T."/>
    <x v="1"/>
    <n v="812"/>
    <n v="774"/>
    <n v="-38"/>
    <n v="55.9"/>
    <n v="34"/>
    <n v="1"/>
    <n v="1089"/>
  </r>
  <r>
    <s v="State"/>
    <s v="North"/>
    <x v="2"/>
    <n v="892"/>
    <n v="889"/>
    <n v="-3"/>
    <n v="23.6"/>
    <n v="33"/>
    <n v="8"/>
    <n v="625"/>
  </r>
  <r>
    <s v="Union Territory"/>
    <s v="U.T."/>
    <x v="3"/>
    <n v="948"/>
    <n v="946"/>
    <n v="-2"/>
    <n v="6.3"/>
    <n v="32"/>
    <n v="33"/>
    <n v="1"/>
  </r>
  <r>
    <s v="State"/>
    <s v="West"/>
    <x v="4"/>
    <n v="920"/>
    <n v="919"/>
    <n v="-1"/>
    <n v="19.3"/>
    <n v="31.5"/>
    <n v="17"/>
    <n v="210.25"/>
  </r>
  <r>
    <s v="State"/>
    <s v="East"/>
    <x v="5"/>
    <n v="919"/>
    <n v="918"/>
    <n v="-1"/>
    <n v="25.4"/>
    <n v="30"/>
    <n v="6"/>
    <n v="576"/>
  </r>
  <r>
    <s v="State"/>
    <s v="North"/>
    <x v="6"/>
    <n v="962"/>
    <n v="963"/>
    <n v="1"/>
    <n v="18.8"/>
    <n v="29"/>
    <n v="18"/>
    <n v="121"/>
  </r>
  <r>
    <s v="State"/>
    <s v="Central"/>
    <x v="7"/>
    <n v="989"/>
    <n v="991"/>
    <n v="2"/>
    <n v="22.6"/>
    <n v="28"/>
    <n v="10"/>
    <n v="324"/>
  </r>
  <r>
    <s v="State"/>
    <s v="North"/>
    <x v="8"/>
    <n v="968"/>
    <n v="972"/>
    <n v="4"/>
    <n v="12.9"/>
    <n v="27"/>
    <n v="28"/>
    <n v="1"/>
  </r>
  <r>
    <s v="State"/>
    <s v="East"/>
    <x v="9"/>
    <n v="972"/>
    <n v="979"/>
    <n v="7"/>
    <n v="14"/>
    <n v="22"/>
    <n v="25"/>
    <n v="9"/>
  </r>
  <r>
    <s v="State"/>
    <s v="West"/>
    <x v="10"/>
    <n v="922"/>
    <n v="929"/>
    <n v="7"/>
    <n v="16"/>
    <n v="22"/>
    <n v="21"/>
    <n v="1"/>
  </r>
  <r>
    <s v="State"/>
    <s v="West"/>
    <x v="11"/>
    <n v="921"/>
    <n v="928"/>
    <n v="7"/>
    <n v="21.3"/>
    <n v="22"/>
    <n v="12"/>
    <n v="100"/>
  </r>
  <r>
    <s v="State"/>
    <s v="East"/>
    <x v="12"/>
    <n v="941"/>
    <n v="948"/>
    <n v="7"/>
    <n v="22.4"/>
    <n v="22"/>
    <n v="11"/>
    <n v="121"/>
  </r>
  <r>
    <s v="State"/>
    <s v="North East"/>
    <x v="13"/>
    <n v="978"/>
    <n v="985"/>
    <n v="7"/>
    <n v="24.5"/>
    <n v="22"/>
    <n v="7"/>
    <n v="225"/>
  </r>
  <r>
    <s v="State"/>
    <s v="South"/>
    <x v="14"/>
    <n v="965"/>
    <n v="973"/>
    <n v="8"/>
    <n v="15.6"/>
    <n v="21"/>
    <n v="22"/>
    <n v="1"/>
  </r>
  <r>
    <s v="State"/>
    <s v="South"/>
    <x v="15"/>
    <n v="987"/>
    <n v="996"/>
    <n v="9"/>
    <n v="15.6"/>
    <n v="20"/>
    <n v="22"/>
    <n v="4"/>
  </r>
  <r>
    <s v="State"/>
    <s v="West"/>
    <x v="16"/>
    <n v="961"/>
    <n v="973"/>
    <n v="12"/>
    <n v="8.1999999999999993"/>
    <n v="17"/>
    <n v="31"/>
    <n v="196"/>
  </r>
  <r>
    <s v="State"/>
    <s v="North East"/>
    <x v="17"/>
    <n v="948"/>
    <n v="960"/>
    <n v="12"/>
    <n v="14.8"/>
    <n v="17"/>
    <n v="24"/>
    <n v="49"/>
  </r>
  <r>
    <s v="State"/>
    <s v="Central"/>
    <x v="18"/>
    <n v="919"/>
    <n v="931"/>
    <n v="12"/>
    <n v="20.3"/>
    <n v="17"/>
    <n v="14"/>
    <n v="9"/>
  </r>
  <r>
    <s v="State"/>
    <s v="North"/>
    <x v="19"/>
    <n v="898"/>
    <n v="912"/>
    <n v="14"/>
    <n v="20.2"/>
    <n v="16"/>
    <n v="15"/>
    <n v="1"/>
  </r>
  <r>
    <s v="State"/>
    <s v="South"/>
    <x v="20"/>
    <n v="978"/>
    <n v="993"/>
    <n v="15"/>
    <n v="11"/>
    <n v="14"/>
    <n v="30"/>
    <n v="256"/>
  </r>
  <r>
    <s v="State"/>
    <s v="North East"/>
    <x v="21"/>
    <n v="875"/>
    <n v="890"/>
    <n v="15"/>
    <n v="12.9"/>
    <n v="14"/>
    <n v="28"/>
    <n v="196"/>
  </r>
  <r>
    <s v="State"/>
    <s v="East"/>
    <x v="22"/>
    <n v="934"/>
    <n v="950"/>
    <n v="16"/>
    <n v="13.8"/>
    <n v="13"/>
    <n v="27"/>
    <n v="196"/>
  </r>
  <r>
    <s v="State"/>
    <s v="North East"/>
    <x v="23"/>
    <n v="972"/>
    <n v="989"/>
    <n v="17"/>
    <n v="27.9"/>
    <n v="12"/>
    <n v="4"/>
    <n v="64"/>
  </r>
  <r>
    <s v="State"/>
    <s v="North"/>
    <x v="24"/>
    <n v="861"/>
    <n v="879"/>
    <n v="18"/>
    <n v="19.899999999999999"/>
    <n v="11"/>
    <n v="16"/>
    <n v="25"/>
  </r>
  <r>
    <s v="State"/>
    <s v="North"/>
    <x v="25"/>
    <n v="876"/>
    <n v="895"/>
    <n v="19"/>
    <n v="13.9"/>
    <n v="10"/>
    <n v="26"/>
    <n v="256"/>
  </r>
  <r>
    <s v="State"/>
    <s v="North East"/>
    <x v="26"/>
    <n v="935"/>
    <n v="958"/>
    <n v="23"/>
    <n v="17.100000000000001"/>
    <n v="9"/>
    <n v="20"/>
    <n v="121"/>
  </r>
  <r>
    <s v="State"/>
    <s v="South"/>
    <x v="27"/>
    <n v="1058"/>
    <n v="1084"/>
    <n v="26"/>
    <n v="4.9000000000000004"/>
    <n v="8"/>
    <n v="34"/>
    <n v="676"/>
  </r>
  <r>
    <s v="State"/>
    <s v="U.T."/>
    <x v="28"/>
    <n v="846"/>
    <n v="876"/>
    <n v="30"/>
    <n v="6.9"/>
    <n v="7"/>
    <n v="32"/>
    <n v="625"/>
  </r>
  <r>
    <s v="Union Territory"/>
    <s v="North East"/>
    <x v="29"/>
    <n v="900"/>
    <n v="931"/>
    <n v="31"/>
    <n v="-0.6"/>
    <n v="6"/>
    <n v="35"/>
    <n v="841"/>
  </r>
  <r>
    <s v="State"/>
    <s v="U.T."/>
    <x v="30"/>
    <n v="1001"/>
    <n v="1037"/>
    <n v="36"/>
    <n v="28.1"/>
    <n v="5"/>
    <n v="3"/>
    <n v="4"/>
  </r>
  <r>
    <s v="Union Territory"/>
    <s v="U.T."/>
    <x v="31"/>
    <n v="777"/>
    <n v="818"/>
    <n v="41"/>
    <n v="17.2"/>
    <n v="3"/>
    <n v="19"/>
    <n v="256"/>
  </r>
  <r>
    <s v="Union Territory"/>
    <s v="North East"/>
    <x v="32"/>
    <n v="935"/>
    <n v="976"/>
    <n v="41"/>
    <n v="23.5"/>
    <n v="3"/>
    <n v="9"/>
    <n v="36"/>
  </r>
  <r>
    <s v="State"/>
    <s v="North East"/>
    <x v="33"/>
    <n v="893"/>
    <n v="938"/>
    <n v="45"/>
    <n v="26"/>
    <n v="2"/>
    <n v="5"/>
    <n v="9"/>
  </r>
  <r>
    <s v="State"/>
    <s v="U.T."/>
    <x v="34"/>
    <n v="821"/>
    <n v="868"/>
    <n v="47"/>
    <n v="21.2"/>
    <n v="1"/>
    <n v="13"/>
    <n v="14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s v="Country"/>
    <x v="0"/>
    <n v="64.84"/>
    <n v="74.040000000000006"/>
  </r>
  <r>
    <s v="State"/>
    <x v="1"/>
    <n v="60.47"/>
    <n v="67.66"/>
  </r>
  <r>
    <s v="State"/>
    <x v="2"/>
    <n v="54.34"/>
    <n v="66.95"/>
  </r>
  <r>
    <s v="State"/>
    <x v="3"/>
    <n v="63.25"/>
    <n v="73.180000000000007"/>
  </r>
  <r>
    <s v="State"/>
    <x v="4"/>
    <n v="47"/>
    <n v="63.82"/>
  </r>
  <r>
    <s v="State"/>
    <x v="5"/>
    <n v="64.66"/>
    <n v="71.040000000000006"/>
  </r>
  <r>
    <s v="State"/>
    <x v="6"/>
    <n v="82.01"/>
    <n v="87.4"/>
  </r>
  <r>
    <s v="State"/>
    <x v="7"/>
    <n v="69.14"/>
    <n v="79.31"/>
  </r>
  <r>
    <s v="State"/>
    <x v="8"/>
    <n v="67.91"/>
    <n v="76.64"/>
  </r>
  <r>
    <s v="State"/>
    <x v="9"/>
    <n v="76.48"/>
    <n v="83.78"/>
  </r>
  <r>
    <s v="State"/>
    <x v="10"/>
    <n v="55.52"/>
    <n v="68.739999999999995"/>
  </r>
  <r>
    <s v="State"/>
    <x v="11"/>
    <n v="53.56"/>
    <n v="67.63"/>
  </r>
  <r>
    <s v="State"/>
    <x v="12"/>
    <n v="66.64"/>
    <n v="75.599999999999994"/>
  </r>
  <r>
    <s v="State"/>
    <x v="13"/>
    <n v="90.86"/>
    <n v="93.91"/>
  </r>
  <r>
    <s v="State"/>
    <x v="14"/>
    <n v="63.74"/>
    <n v="70.63"/>
  </r>
  <r>
    <s v="State"/>
    <x v="15"/>
    <n v="76.88"/>
    <n v="82.91"/>
  </r>
  <r>
    <s v="State"/>
    <x v="16"/>
    <n v="70.53"/>
    <n v="79.849999999999994"/>
  </r>
  <r>
    <s v="State"/>
    <x v="17"/>
    <n v="62.56"/>
    <n v="75.48"/>
  </r>
  <r>
    <s v="State"/>
    <x v="18"/>
    <n v="88.8"/>
    <n v="91.58"/>
  </r>
  <r>
    <s v="State"/>
    <x v="19"/>
    <n v="66.59"/>
    <n v="80.11"/>
  </r>
  <r>
    <s v="State"/>
    <x v="20"/>
    <n v="63.08"/>
    <n v="73.45"/>
  </r>
  <r>
    <s v="State"/>
    <x v="21"/>
    <n v="69.650000000000006"/>
    <n v="76.680000000000007"/>
  </r>
  <r>
    <s v="State"/>
    <x v="22"/>
    <n v="60.41"/>
    <n v="67.06"/>
  </r>
  <r>
    <s v="State"/>
    <x v="23"/>
    <n v="68.81"/>
    <n v="82.2"/>
  </r>
  <r>
    <s v="State"/>
    <x v="24"/>
    <n v="73.45"/>
    <n v="80.33"/>
  </r>
  <r>
    <s v="State"/>
    <x v="25"/>
    <n v="73.19"/>
    <n v="87.75"/>
  </r>
  <r>
    <s v="State"/>
    <x v="26"/>
    <n v="56.27"/>
    <n v="69.72"/>
  </r>
  <r>
    <s v="State"/>
    <x v="27"/>
    <n v="71.62"/>
    <n v="79.63"/>
  </r>
  <r>
    <s v="State"/>
    <x v="28"/>
    <n v="68.64"/>
    <n v="77.08"/>
  </r>
  <r>
    <s v="Union Territory"/>
    <x v="29"/>
    <n v="81.3"/>
    <n v="86.27"/>
  </r>
  <r>
    <s v="Union Territory"/>
    <x v="30"/>
    <n v="81.94"/>
    <n v="86.43"/>
  </r>
  <r>
    <s v="Union Territory"/>
    <x v="31"/>
    <n v="57.63"/>
    <n v="77.650000000000006"/>
  </r>
  <r>
    <s v="Union Territory"/>
    <x v="32"/>
    <n v="78.180000000000007"/>
    <n v="87.07"/>
  </r>
  <r>
    <s v="Union Territory"/>
    <x v="33"/>
    <n v="86.66"/>
    <n v="92.28"/>
  </r>
  <r>
    <s v="Union Territory"/>
    <x v="34"/>
    <n v="81.67"/>
    <n v="86.34"/>
  </r>
  <r>
    <s v="Union Territory"/>
    <x v="35"/>
    <n v="81.239999999999995"/>
    <n v="86.5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complete_graph_pivot"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31">
  <location ref="A7:E11" firstHeaderRow="0" firstDataRow="1" firstDataCol="1"/>
  <pivotFields count="14">
    <pivotField showAll="0"/>
    <pivotField axis="axisRow" showAll="0">
      <items count="10">
        <item x="4"/>
        <item h="1" x="0"/>
        <item h="1" x="3"/>
        <item h="1" x="6"/>
        <item h="1" x="2"/>
        <item h="1" x="1"/>
        <item h="1" x="7"/>
        <item h="1" x="5"/>
        <item h="1" m="1" x="8"/>
        <item t="default"/>
      </items>
    </pivotField>
    <pivotField axis="axisRow" showAll="0">
      <items count="38">
        <item x="0"/>
        <item x="29"/>
        <item x="1"/>
        <item x="2"/>
        <item x="3"/>
        <item x="4"/>
        <item x="30"/>
        <item x="5"/>
        <item x="31"/>
        <item x="32"/>
        <item x="6"/>
        <item x="7"/>
        <item x="8"/>
        <item x="9"/>
        <item x="10"/>
        <item x="11"/>
        <item x="12"/>
        <item x="13"/>
        <item x="33"/>
        <item x="14"/>
        <item x="15"/>
        <item x="16"/>
        <item x="17"/>
        <item x="18"/>
        <item x="19"/>
        <item x="34"/>
        <item x="20"/>
        <item x="35"/>
        <item x="21"/>
        <item x="22"/>
        <item x="23"/>
        <item x="24"/>
        <item x="25"/>
        <item x="26"/>
        <item x="27"/>
        <item x="28"/>
        <item h="1" m="1" x="36"/>
        <item t="default"/>
      </items>
    </pivotField>
    <pivotField showAll="0"/>
    <pivotField showAll="0"/>
    <pivotField dataField="1" showAll="0"/>
    <pivotField dataField="1" showAll="0"/>
    <pivotField dataField="1"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2">
    <field x="1"/>
    <field x="2"/>
  </rowFields>
  <rowItems count="4">
    <i>
      <x/>
    </i>
    <i r="1">
      <x v="7"/>
    </i>
    <i r="1">
      <x v="19"/>
    </i>
    <i t="grand">
      <x/>
    </i>
  </rowItems>
  <colFields count="1">
    <field x="-2"/>
  </colFields>
  <colItems count="4">
    <i>
      <x/>
    </i>
    <i i="1">
      <x v="1"/>
    </i>
    <i i="2">
      <x v="2"/>
    </i>
    <i i="3">
      <x v="3"/>
    </i>
  </colItems>
  <dataFields count="4">
    <dataField name="Sum of  Rural - 2011" fld="6" baseField="1" baseItem="1"/>
    <dataField name="Sum of Urban - 2011" fld="8" baseField="1" baseItem="1"/>
    <dataField name="Sum of  Rural - 2001" fld="5" baseField="0" baseItem="0"/>
    <dataField name="Sum of Urban - 2001" fld="7" baseField="0" baseItem="0"/>
  </dataFields>
  <formats count="15">
    <format dxfId="122">
      <pivotArea type="all" dataOnly="0" outline="0" fieldPosition="0"/>
    </format>
    <format dxfId="121">
      <pivotArea outline="0" collapsedLevelsAreSubtotals="1" fieldPosition="0"/>
    </format>
    <format dxfId="120">
      <pivotArea field="1" type="button" dataOnly="0" labelOnly="1" outline="0" axis="axisRow" fieldPosition="0"/>
    </format>
    <format dxfId="119">
      <pivotArea dataOnly="0" labelOnly="1" fieldPosition="0">
        <references count="1">
          <reference field="1" count="0"/>
        </references>
      </pivotArea>
    </format>
    <format dxfId="118">
      <pivotArea dataOnly="0" labelOnly="1" grandRow="1" outline="0" fieldPosition="0"/>
    </format>
    <format dxfId="117">
      <pivotArea dataOnly="0" labelOnly="1" fieldPosition="0">
        <references count="2">
          <reference field="1" count="0" selected="0"/>
          <reference field="2" count="7">
            <x v="1"/>
            <x v="6"/>
            <x v="8"/>
            <x v="9"/>
            <x v="18"/>
            <x v="25"/>
            <x v="27"/>
          </reference>
        </references>
      </pivotArea>
    </format>
    <format dxfId="116">
      <pivotArea dataOnly="0" labelOnly="1" outline="0" fieldPosition="0">
        <references count="1">
          <reference field="4294967294" count="2">
            <x v="0"/>
            <x v="1"/>
          </reference>
        </references>
      </pivotArea>
    </format>
    <format dxfId="115">
      <pivotArea field="1" type="button" dataOnly="0" labelOnly="1" outline="0" axis="axisRow" fieldPosition="0"/>
    </format>
    <format dxfId="114">
      <pivotArea dataOnly="0" labelOnly="1" outline="0" fieldPosition="0">
        <references count="1">
          <reference field="4294967294" count="2">
            <x v="0"/>
            <x v="1"/>
          </reference>
        </references>
      </pivotArea>
    </format>
    <format dxfId="113">
      <pivotArea dataOnly="0" grandRow="1" axis="axisRow" fieldPosition="0"/>
    </format>
    <format dxfId="112">
      <pivotArea collapsedLevelsAreSubtotals="1" fieldPosition="0">
        <references count="1">
          <reference field="1" count="0"/>
        </references>
      </pivotArea>
    </format>
    <format dxfId="111">
      <pivotArea collapsedLevelsAreSubtotals="1" fieldPosition="0">
        <references count="2">
          <reference field="1" count="0" selected="0"/>
          <reference field="2" count="7">
            <x v="1"/>
            <x v="6"/>
            <x v="8"/>
            <x v="9"/>
            <x v="18"/>
            <x v="25"/>
            <x v="27"/>
          </reference>
        </references>
      </pivotArea>
    </format>
    <format dxfId="110">
      <pivotArea dataOnly="0" labelOnly="1" fieldPosition="0">
        <references count="1">
          <reference field="1" count="0"/>
        </references>
      </pivotArea>
    </format>
    <format dxfId="109">
      <pivotArea dataOnly="0" labelOnly="1" fieldPosition="0">
        <references count="2">
          <reference field="1" count="0" selected="0"/>
          <reference field="2" count="7">
            <x v="1"/>
            <x v="6"/>
            <x v="8"/>
            <x v="9"/>
            <x v="18"/>
            <x v="25"/>
            <x v="27"/>
          </reference>
        </references>
      </pivotArea>
    </format>
    <format dxfId="108">
      <pivotArea dataOnly="0" labelOnly="1" outline="0" fieldPosition="0">
        <references count="1">
          <reference field="4294967294" count="2">
            <x v="2"/>
            <x v="3"/>
          </reference>
        </references>
      </pivotArea>
    </format>
  </formats>
  <chartFormats count="10">
    <chartFormat chart="0" format="7"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0"/>
          </reference>
        </references>
      </pivotArea>
    </chartFormat>
    <chartFormat chart="12" format="11" series="1">
      <pivotArea type="data" outline="0" fieldPosition="0">
        <references count="1">
          <reference field="4294967294" count="1" selected="0">
            <x v="0"/>
          </reference>
        </references>
      </pivotArea>
    </chartFormat>
    <chartFormat chart="12" format="13" series="1">
      <pivotArea type="data" outline="0" fieldPosition="0">
        <references count="1">
          <reference field="4294967294" count="1" selected="0">
            <x v="1"/>
          </reference>
        </references>
      </pivotArea>
    </chartFormat>
    <chartFormat chart="14" format="17" series="1">
      <pivotArea type="data" outline="0" fieldPosition="0">
        <references count="1">
          <reference field="4294967294" count="1" selected="0">
            <x v="0"/>
          </reference>
        </references>
      </pivotArea>
    </chartFormat>
    <chartFormat chart="14" format="19" series="1">
      <pivotArea type="data" outline="0" fieldPosition="0">
        <references count="1">
          <reference field="4294967294" count="1" selected="0">
            <x v="1"/>
          </reference>
        </references>
      </pivotArea>
    </chartFormat>
    <chartFormat chart="0" format="10" series="1">
      <pivotArea type="data" outline="0" fieldPosition="0">
        <references count="1">
          <reference field="4294967294" count="1" selected="0">
            <x v="2"/>
          </reference>
        </references>
      </pivotArea>
    </chartFormat>
    <chartFormat chart="14" format="22" series="1">
      <pivotArea type="data" outline="0" fieldPosition="0">
        <references count="1">
          <reference field="4294967294" count="1" selected="0">
            <x v="2"/>
          </reference>
        </references>
      </pivotArea>
    </chartFormat>
    <chartFormat chart="0" format="11" series="1">
      <pivotArea type="data" outline="0" fieldPosition="0">
        <references count="1">
          <reference field="4294967294" count="1" selected="0">
            <x v="3"/>
          </reference>
        </references>
      </pivotArea>
    </chartFormat>
    <chartFormat chart="14" format="23" series="1">
      <pivotArea type="data" outline="0" fieldPosition="0">
        <references count="1">
          <reference field="4294967294" count="1" selected="0">
            <x v="3"/>
          </reference>
        </references>
      </pivotArea>
    </chartFormat>
  </chartFormats>
  <pivotTableStyleInfo name="PivotStyleMedium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change_in_sex_ratio" cacheId="1" dataPosition="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8">
  <location ref="A7:D9" firstHeaderRow="0" firstDataRow="1" firstDataCol="1"/>
  <pivotFields count="14">
    <pivotField showAll="0"/>
    <pivotField showAll="0" defaultSubtotal="0">
      <items count="9">
        <item h="1" x="4"/>
        <item h="1" x="0"/>
        <item h="1" x="3"/>
        <item x="6"/>
        <item h="1" x="2"/>
        <item h="1" x="1"/>
        <item h="1" x="7"/>
        <item h="1" x="5"/>
        <item h="1" m="1" x="8"/>
      </items>
    </pivotField>
    <pivotField axis="axisRow" showAll="0" sortType="descending">
      <items count="38">
        <item h="1" x="0"/>
        <item h="1" x="29"/>
        <item h="1" x="1"/>
        <item h="1" x="2"/>
        <item h="1" x="3"/>
        <item h="1" x="4"/>
        <item h="1" x="30"/>
        <item h="1" x="5"/>
        <item h="1" x="31"/>
        <item h="1" x="32"/>
        <item h="1" x="6"/>
        <item h="1" x="7"/>
        <item x="8"/>
        <item h="1" x="9"/>
        <item h="1" x="10"/>
        <item h="1" x="11"/>
        <item h="1" x="12"/>
        <item h="1" x="13"/>
        <item h="1" x="33"/>
        <item h="1" x="14"/>
        <item h="1" x="15"/>
        <item h="1" x="16"/>
        <item h="1" x="17"/>
        <item h="1" x="18"/>
        <item h="1" x="19"/>
        <item h="1" x="34"/>
        <item h="1" x="20"/>
        <item h="1" x="35"/>
        <item h="1" x="21"/>
        <item h="1" x="22"/>
        <item h="1" x="23"/>
        <item h="1" x="24"/>
        <item h="1" x="25"/>
        <item h="1" x="26"/>
        <item h="1" x="27"/>
        <item h="1" x="28"/>
        <item h="1" m="1" x="36"/>
        <item t="default"/>
      </items>
      <autoSortScope>
        <pivotArea dataOnly="0" outline="0" fieldPosition="0">
          <references count="1">
            <reference field="4294967294" count="1" selected="0">
              <x v="2"/>
            </reference>
          </references>
        </pivotArea>
      </autoSortScope>
    </pivotField>
    <pivotField dataField="1" showAll="0"/>
    <pivotField dataField="1" showAll="0"/>
    <pivotField showAll="0"/>
    <pivotField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2">
    <i>
      <x v="12"/>
    </i>
    <i t="grand">
      <x/>
    </i>
  </rowItems>
  <colFields count="1">
    <field x="-2"/>
  </colFields>
  <colItems count="3">
    <i>
      <x/>
    </i>
    <i i="1">
      <x v="1"/>
    </i>
    <i i="2">
      <x v="2"/>
    </i>
  </colItems>
  <dataFields count="3">
    <dataField name="Total - 2001" fld="3" baseField="0" baseItem="0"/>
    <dataField name="Total - 2011" fld="4" baseField="0" baseItem="0"/>
    <dataField name="2011-2001 difference" fld="9" baseField="1" baseItem="25"/>
  </dataFields>
  <formats count="10">
    <format dxfId="107">
      <pivotArea type="all" dataOnly="0" outline="0" fieldPosition="0"/>
    </format>
    <format dxfId="106">
      <pivotArea outline="0" collapsedLevelsAreSubtotals="1" fieldPosition="0"/>
    </format>
    <format dxfId="105">
      <pivotArea field="2" type="button" dataOnly="0" labelOnly="1" outline="0" axis="axisRow" fieldPosition="0"/>
    </format>
    <format dxfId="104">
      <pivotArea dataOnly="0" labelOnly="1" outline="0" axis="axisValues" fieldPosition="0"/>
    </format>
    <format dxfId="103">
      <pivotArea dataOnly="0" labelOnly="1" grandRow="1" outline="0" fieldPosition="0"/>
    </format>
    <format dxfId="102">
      <pivotArea type="all" dataOnly="0" outline="0" fieldPosition="0"/>
    </format>
    <format dxfId="101">
      <pivotArea field="2" type="button" dataOnly="0" labelOnly="1" outline="0" axis="axisRow" fieldPosition="0"/>
    </format>
    <format dxfId="100">
      <pivotArea dataOnly="0" labelOnly="1" outline="0" fieldPosition="0">
        <references count="1">
          <reference field="4294967294" count="3">
            <x v="0"/>
            <x v="1"/>
            <x v="2"/>
          </reference>
        </references>
      </pivotArea>
    </format>
    <format dxfId="99">
      <pivotArea outline="0" collapsedLevelsAreSubtotals="1" fieldPosition="0"/>
    </format>
    <format dxfId="98">
      <pivotArea dataOnly="0" labelOnly="1" grandRow="1" outline="0" fieldPosition="0"/>
    </format>
  </formats>
  <chartFormats count="6">
    <chartFormat chart="0" format="2" series="1">
      <pivotArea type="data" outline="0" fieldPosition="0">
        <references count="1">
          <reference field="4294967294" count="1" selected="0">
            <x v="2"/>
          </reference>
        </references>
      </pivotArea>
    </chartFormat>
    <chartFormat chart="7" format="4"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1"/>
          </reference>
        </references>
      </pivotArea>
    </chartFormat>
    <chartFormat chart="7" format="6" series="1">
      <pivotArea type="data" outline="0" fieldPosition="0">
        <references count="1">
          <reference field="4294967294" count="1" selected="0">
            <x v="1"/>
          </reference>
        </references>
      </pivotArea>
    </chartFormat>
  </chartFormats>
  <pivotTableStyleInfo name="PivotStyleLight22"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abv_avg_pivot"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29">
  <location ref="A11:C23" firstHeaderRow="0" firstDataRow="1" firstDataCol="1"/>
  <pivotFields count="14">
    <pivotField showAll="0"/>
    <pivotField showAll="0" defaultSubtotal="0">
      <items count="9">
        <item x="4"/>
        <item x="0"/>
        <item x="3"/>
        <item x="6"/>
        <item x="2"/>
        <item x="1"/>
        <item x="7"/>
        <item x="5"/>
        <item m="1" x="8"/>
      </items>
    </pivotField>
    <pivotField axis="axisRow" showAll="0" measureFilter="1" sortType="ascending">
      <items count="38">
        <item x="29"/>
        <item x="1"/>
        <item x="2"/>
        <item x="3"/>
        <item x="4"/>
        <item x="30"/>
        <item x="5"/>
        <item x="31"/>
        <item x="32"/>
        <item x="6"/>
        <item x="7"/>
        <item x="8"/>
        <item x="9"/>
        <item x="0"/>
        <item x="10"/>
        <item x="11"/>
        <item x="12"/>
        <item x="13"/>
        <item x="33"/>
        <item x="14"/>
        <item x="15"/>
        <item x="16"/>
        <item x="17"/>
        <item x="18"/>
        <item x="19"/>
        <item x="34"/>
        <item x="20"/>
        <item x="35"/>
        <item x="21"/>
        <item x="22"/>
        <item x="23"/>
        <item x="24"/>
        <item x="25"/>
        <item x="26"/>
        <item x="27"/>
        <item x="28"/>
        <item m="1" x="36"/>
        <item t="default"/>
      </items>
    </pivotField>
    <pivotField dataField="1" multipleItemSelectionAllowed="1" showAll="0"/>
    <pivotField dataField="1"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12">
    <i>
      <x v="1"/>
    </i>
    <i>
      <x v="6"/>
    </i>
    <i>
      <x v="9"/>
    </i>
    <i>
      <x v="16"/>
    </i>
    <i>
      <x v="17"/>
    </i>
    <i>
      <x v="21"/>
    </i>
    <i>
      <x v="22"/>
    </i>
    <i>
      <x v="23"/>
    </i>
    <i>
      <x v="26"/>
    </i>
    <i>
      <x v="27"/>
    </i>
    <i>
      <x v="31"/>
    </i>
    <i t="grand">
      <x/>
    </i>
  </rowItems>
  <colFields count="1">
    <field x="-2"/>
  </colFields>
  <colItems count="2">
    <i>
      <x/>
    </i>
    <i i="1">
      <x v="1"/>
    </i>
  </colItems>
  <dataFields count="2">
    <dataField name="Total - 2011" fld="4" baseField="0" baseItem="0"/>
    <dataField name="Total - 2001" fld="3" baseField="0" baseItem="0"/>
  </dataFields>
  <formats count="11">
    <format dxfId="97">
      <pivotArea type="all" dataOnly="0" outline="0" fieldPosition="0"/>
    </format>
    <format dxfId="96">
      <pivotArea outline="0" collapsedLevelsAreSubtotals="1" fieldPosition="0"/>
    </format>
    <format dxfId="95">
      <pivotArea field="2" type="button" dataOnly="0" labelOnly="1" outline="0" axis="axisRow" fieldPosition="0"/>
    </format>
    <format dxfId="94">
      <pivotArea dataOnly="0" labelOnly="1" fieldPosition="0">
        <references count="1">
          <reference field="2" count="11">
            <x v="1"/>
            <x v="6"/>
            <x v="9"/>
            <x v="16"/>
            <x v="17"/>
            <x v="21"/>
            <x v="22"/>
            <x v="23"/>
            <x v="26"/>
            <x v="27"/>
            <x v="31"/>
          </reference>
        </references>
      </pivotArea>
    </format>
    <format dxfId="93">
      <pivotArea dataOnly="0" labelOnly="1" grandRow="1" outline="0" fieldPosition="0"/>
    </format>
    <format dxfId="92">
      <pivotArea dataOnly="0" labelOnly="1" outline="0" fieldPosition="0">
        <references count="1">
          <reference field="4294967294" count="2">
            <x v="0"/>
            <x v="1"/>
          </reference>
        </references>
      </pivotArea>
    </format>
    <format dxfId="91">
      <pivotArea field="2" type="button" dataOnly="0" labelOnly="1" outline="0" axis="axisRow" fieldPosition="0"/>
    </format>
    <format dxfId="90">
      <pivotArea dataOnly="0" labelOnly="1" outline="0" fieldPosition="0">
        <references count="1">
          <reference field="4294967294" count="2">
            <x v="0"/>
            <x v="1"/>
          </reference>
        </references>
      </pivotArea>
    </format>
    <format dxfId="89">
      <pivotArea dataOnly="0" grandRow="1" fieldPosition="0"/>
    </format>
    <format dxfId="88">
      <pivotArea collapsedLevelsAreSubtotals="1" fieldPosition="0">
        <references count="1">
          <reference field="2" count="11">
            <x v="1"/>
            <x v="6"/>
            <x v="9"/>
            <x v="16"/>
            <x v="17"/>
            <x v="21"/>
            <x v="22"/>
            <x v="23"/>
            <x v="26"/>
            <x v="27"/>
            <x v="31"/>
          </reference>
        </references>
      </pivotArea>
    </format>
    <format dxfId="87">
      <pivotArea dataOnly="0" labelOnly="1" fieldPosition="0">
        <references count="1">
          <reference field="2" count="11">
            <x v="1"/>
            <x v="6"/>
            <x v="9"/>
            <x v="16"/>
            <x v="17"/>
            <x v="21"/>
            <x v="22"/>
            <x v="23"/>
            <x v="26"/>
            <x v="27"/>
            <x v="3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s>
  <pivotTableStyleInfo name="PivotStyleMedium15" showRowHeaders="1" showColHeaders="1" showRowStripes="1" showColStripes="1" showLastColumn="1"/>
  <filters count="1">
    <filter fld="2"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ratio_of_u.t._pivot"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6">
  <location ref="A15:D23" firstHeaderRow="0" firstDataRow="1" firstDataCol="1" rowPageCount="1" colPageCount="1"/>
  <pivotFields count="14">
    <pivotField axis="axisPage" showAll="0">
      <items count="5">
        <item x="0"/>
        <item x="1"/>
        <item x="2"/>
        <item m="1" x="3"/>
        <item t="default"/>
      </items>
    </pivotField>
    <pivotField showAll="0" defaultSubtotal="0"/>
    <pivotField axis="axisRow" showAll="0">
      <items count="38">
        <item x="0"/>
        <item x="29"/>
        <item x="1"/>
        <item x="2"/>
        <item x="3"/>
        <item x="4"/>
        <item x="30"/>
        <item x="5"/>
        <item x="31"/>
        <item x="32"/>
        <item x="6"/>
        <item x="7"/>
        <item x="8"/>
        <item x="9"/>
        <item x="10"/>
        <item x="11"/>
        <item x="12"/>
        <item x="13"/>
        <item x="33"/>
        <item x="14"/>
        <item x="15"/>
        <item x="16"/>
        <item x="17"/>
        <item x="18"/>
        <item x="19"/>
        <item x="34"/>
        <item x="20"/>
        <item x="35"/>
        <item x="21"/>
        <item x="22"/>
        <item x="23"/>
        <item x="24"/>
        <item x="25"/>
        <item x="26"/>
        <item x="27"/>
        <item x="28"/>
        <item m="1" x="36"/>
        <item t="default"/>
      </items>
    </pivotField>
    <pivotField showAll="0"/>
    <pivotField showAll="0"/>
    <pivotField showAll="0"/>
    <pivotField showAll="0"/>
    <pivotField showAll="0"/>
    <pivotField showAll="0"/>
    <pivotField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s>
  <rowFields count="1">
    <field x="2"/>
  </rowFields>
  <rowItems count="8">
    <i>
      <x v="1"/>
    </i>
    <i>
      <x v="6"/>
    </i>
    <i>
      <x v="8"/>
    </i>
    <i>
      <x v="9"/>
    </i>
    <i>
      <x v="18"/>
    </i>
    <i>
      <x v="25"/>
    </i>
    <i>
      <x v="27"/>
    </i>
    <i t="grand">
      <x/>
    </i>
  </rowItems>
  <colFields count="1">
    <field x="-2"/>
  </colFields>
  <colItems count="3">
    <i>
      <x/>
    </i>
    <i i="1">
      <x v="1"/>
    </i>
    <i i="2">
      <x v="2"/>
    </i>
  </colItems>
  <pageFields count="1">
    <pageField fld="0" item="2" hier="-1"/>
  </pageFields>
  <dataFields count="3">
    <dataField name="Ratio 2001" fld="10" baseField="0" baseItem="0"/>
    <dataField name="Ratio -2011" fld="11" baseField="0" baseItem="0" numFmtId="2"/>
    <dataField name="Sum of AVERAGE" fld="13" baseField="0" baseItem="0" numFmtId="2"/>
  </dataFields>
  <formats count="18">
    <format dxfId="86">
      <pivotArea dataOnly="0" outline="0" fieldPosition="0">
        <references count="1">
          <reference field="4294967294" count="1">
            <x v="0"/>
          </reference>
        </references>
      </pivotArea>
    </format>
    <format dxfId="85">
      <pivotArea outline="0" collapsedLevelsAreSubtotals="1" fieldPosition="0">
        <references count="1">
          <reference field="4294967294" count="1" selected="0">
            <x v="1"/>
          </reference>
        </references>
      </pivotArea>
    </format>
    <format dxfId="84">
      <pivotArea dataOnly="0" labelOnly="1" outline="0" fieldPosition="0">
        <references count="1">
          <reference field="4294967294" count="1">
            <x v="1"/>
          </reference>
        </references>
      </pivotArea>
    </format>
    <format dxfId="83">
      <pivotArea field="2" type="button" dataOnly="0" labelOnly="1" outline="0" axis="axisRow" fieldPosition="0"/>
    </format>
    <format dxfId="82">
      <pivotArea dataOnly="0" labelOnly="1" outline="0" fieldPosition="0">
        <references count="1">
          <reference field="4294967294" count="2">
            <x v="0"/>
            <x v="1"/>
          </reference>
        </references>
      </pivotArea>
    </format>
    <format dxfId="81">
      <pivotArea field="0" dataOnly="0" grandRow="1" axis="axisPage" fieldPosition="0">
        <references count="1">
          <reference field="0" count="1" selected="0">
            <x v="2"/>
          </reference>
        </references>
      </pivotArea>
    </format>
    <format dxfId="80">
      <pivotArea collapsedLevelsAreSubtotals="1" fieldPosition="0">
        <references count="1">
          <reference field="2" count="7">
            <x v="1"/>
            <x v="6"/>
            <x v="8"/>
            <x v="9"/>
            <x v="18"/>
            <x v="25"/>
            <x v="27"/>
          </reference>
        </references>
      </pivotArea>
    </format>
    <format dxfId="79">
      <pivotArea dataOnly="0" labelOnly="1" fieldPosition="0">
        <references count="1">
          <reference field="2" count="7">
            <x v="1"/>
            <x v="6"/>
            <x v="8"/>
            <x v="9"/>
            <x v="18"/>
            <x v="25"/>
            <x v="27"/>
          </reference>
        </references>
      </pivotArea>
    </format>
    <format dxfId="78">
      <pivotArea type="all" dataOnly="0" outline="0" fieldPosition="0"/>
    </format>
    <format dxfId="77">
      <pivotArea outline="0" collapsedLevelsAreSubtotals="1" fieldPosition="0"/>
    </format>
    <format dxfId="76">
      <pivotArea collapsedLevelsAreSubtotals="1" fieldPosition="0">
        <references count="1">
          <reference field="2" count="7">
            <x v="1"/>
            <x v="6"/>
            <x v="8"/>
            <x v="9"/>
            <x v="18"/>
            <x v="25"/>
            <x v="27"/>
          </reference>
        </references>
      </pivotArea>
    </format>
    <format dxfId="75">
      <pivotArea dataOnly="0" labelOnly="1" fieldPosition="0">
        <references count="1">
          <reference field="2" count="7">
            <x v="1"/>
            <x v="6"/>
            <x v="8"/>
            <x v="9"/>
            <x v="18"/>
            <x v="25"/>
            <x v="27"/>
          </reference>
        </references>
      </pivotArea>
    </format>
    <format dxfId="74">
      <pivotArea grandRow="1" outline="0" collapsedLevelsAreSubtotals="1" fieldPosition="0"/>
    </format>
    <format dxfId="73">
      <pivotArea dataOnly="0" labelOnly="1" grandRow="1" outline="0" fieldPosition="0"/>
    </format>
    <format dxfId="72">
      <pivotArea field="2" type="button" dataOnly="0" labelOnly="1" outline="0" axis="axisRow" fieldPosition="0"/>
    </format>
    <format dxfId="71">
      <pivotArea dataOnly="0" labelOnly="1" outline="0" fieldPosition="0">
        <references count="1">
          <reference field="4294967294" count="3">
            <x v="0"/>
            <x v="1"/>
            <x v="2"/>
          </reference>
        </references>
      </pivotArea>
    </format>
    <format dxfId="70">
      <pivotArea collapsedLevelsAreSubtotals="1" fieldPosition="0">
        <references count="2">
          <reference field="4294967294" count="1" selected="0">
            <x v="2"/>
          </reference>
          <reference field="2" count="7">
            <x v="1"/>
            <x v="6"/>
            <x v="8"/>
            <x v="9"/>
            <x v="18"/>
            <x v="25"/>
            <x v="27"/>
          </reference>
        </references>
      </pivotArea>
    </format>
    <format dxfId="69">
      <pivotArea outline="0" fieldPosition="0">
        <references count="1">
          <reference field="4294967294" count="1">
            <x v="2"/>
          </reference>
        </references>
      </pivotArea>
    </format>
  </formats>
  <chartFormats count="9">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5" format="6" series="1">
      <pivotArea type="data" outline="0" fieldPosition="0">
        <references count="1">
          <reference field="4294967294" count="1" selected="0">
            <x v="2"/>
          </reference>
        </references>
      </pivotArea>
    </chartFormat>
    <chartFormat chart="12" format="7" series="1">
      <pivotArea type="data" outline="0" fieldPosition="0">
        <references count="1">
          <reference field="4294967294" count="1" selected="0">
            <x v="0"/>
          </reference>
        </references>
      </pivotArea>
    </chartFormat>
    <chartFormat chart="12" format="8" series="1">
      <pivotArea type="data" outline="0" fieldPosition="0">
        <references count="1">
          <reference field="4294967294" count="1" selected="0">
            <x v="1"/>
          </reference>
        </references>
      </pivotArea>
    </chartFormat>
    <chartFormat chart="12" format="9" series="1">
      <pivotArea type="data" outline="0" fieldPosition="0">
        <references count="1">
          <reference field="4294967294" count="1" selected="0">
            <x v="2"/>
          </reference>
        </references>
      </pivotArea>
    </chartFormat>
  </chartFormats>
  <pivotTableStyleInfo name="PivotStyleMedium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csr_s_sr_pivot" cacheId="4" applyNumberFormats="0" applyBorderFormats="0" applyFontFormats="0" applyPatternFormats="0" applyAlignmentFormats="0" applyWidthHeightFormats="1" dataCaption="Values" tag="47000520-463c-4a67-9148-b6236eb37cbf" updatedVersion="6" minRefreshableVersion="3" useAutoFormatting="1" subtotalHiddenItems="1" itemPrintTitles="1" createdVersion="5" indent="0" outline="1" outlineData="1" multipleFieldFilters="0" chartFormat="16">
  <location ref="A7:E13" firstHeaderRow="0" firstDataRow="1" firstDataCol="1"/>
  <pivotFields count="5">
    <pivotField dataField="1" showAll="0"/>
    <pivotField dataField="1" showAll="0"/>
    <pivotField dataField="1" showAll="0"/>
    <pivotField dataField="1" showAll="0"/>
    <pivotField axis="axisRow" allDrilled="1" showAll="0" dataSourceSort="1" defaultAttributeDrillState="1">
      <items count="6">
        <item s="1" x="0"/>
        <item s="1" x="1"/>
        <item s="1" x="2"/>
        <item s="1" x="3"/>
        <item s="1" x="4"/>
        <item t="default"/>
      </items>
    </pivotField>
  </pivotFields>
  <rowFields count="1">
    <field x="4"/>
  </rowFields>
  <rowItems count="6">
    <i>
      <x/>
    </i>
    <i>
      <x v="1"/>
    </i>
    <i>
      <x v="2"/>
    </i>
    <i>
      <x v="3"/>
    </i>
    <i>
      <x v="4"/>
    </i>
    <i t="grand">
      <x/>
    </i>
  </rowItems>
  <colFields count="1">
    <field x="-2"/>
  </colFields>
  <colItems count="4">
    <i>
      <x/>
    </i>
    <i i="1">
      <x v="1"/>
    </i>
    <i i="2">
      <x v="2"/>
    </i>
    <i i="3">
      <x v="3"/>
    </i>
  </colItems>
  <dataFields count="4">
    <dataField name="Sum of CSR Total - 2001" fld="0" baseField="0" baseItem="0"/>
    <dataField name="Sum of CSR Total - 2011" fld="1" baseField="0" baseItem="0"/>
    <dataField name="Sum of Total - 2001" fld="2" baseField="0" baseItem="0"/>
    <dataField name="Sum of Total - 2011" fld="3" baseField="0" baseItem="0"/>
  </dataFields>
  <formats count="14">
    <format dxfId="68">
      <pivotArea type="all" dataOnly="0" outline="0" fieldPosition="0"/>
    </format>
    <format dxfId="67">
      <pivotArea outline="0" collapsedLevelsAreSubtotals="1" fieldPosition="0"/>
    </format>
    <format dxfId="66">
      <pivotArea field="4" type="button" dataOnly="0" labelOnly="1" outline="0" axis="axisRow" fieldPosition="0"/>
    </format>
    <format dxfId="65">
      <pivotArea dataOnly="0" labelOnly="1" fieldPosition="0">
        <references count="1">
          <reference field="4" count="0"/>
        </references>
      </pivotArea>
    </format>
    <format dxfId="64">
      <pivotArea dataOnly="0" labelOnly="1" grandRow="1" outline="0" fieldPosition="0"/>
    </format>
    <format dxfId="63">
      <pivotArea dataOnly="0" labelOnly="1" outline="0" fieldPosition="0">
        <references count="1">
          <reference field="4294967294" count="4">
            <x v="0"/>
            <x v="1"/>
            <x v="2"/>
            <x v="3"/>
          </reference>
        </references>
      </pivotArea>
    </format>
    <format dxfId="62">
      <pivotArea type="all" dataOnly="0" outline="0" fieldPosition="0"/>
    </format>
    <format dxfId="61">
      <pivotArea outline="0" collapsedLevelsAreSubtotals="1" fieldPosition="0"/>
    </format>
    <format dxfId="60">
      <pivotArea dataOnly="0" labelOnly="1" grandRow="1" outline="0" fieldPosition="0"/>
    </format>
    <format dxfId="59">
      <pivotArea field="4" type="button" dataOnly="0" labelOnly="1" outline="0" axis="axisRow" fieldPosition="0"/>
    </format>
    <format dxfId="58">
      <pivotArea dataOnly="0" labelOnly="1" outline="0" fieldPosition="0">
        <references count="1">
          <reference field="4294967294" count="4">
            <x v="0"/>
            <x v="1"/>
            <x v="2"/>
            <x v="3"/>
          </reference>
        </references>
      </pivotArea>
    </format>
    <format dxfId="57">
      <pivotArea dataOnly="0" grandRow="1" fieldPosition="0"/>
    </format>
    <format dxfId="56">
      <pivotArea collapsedLevelsAreSubtotals="1" fieldPosition="0">
        <references count="1">
          <reference field="4" count="0"/>
        </references>
      </pivotArea>
    </format>
    <format dxfId="55">
      <pivotArea dataOnly="0" labelOnly="1" fieldPosition="0">
        <references count="1">
          <reference field="4" count="0"/>
        </references>
      </pivotArea>
    </format>
  </format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1"/>
          </reference>
          <reference field="4" count="1" selected="0">
            <x v="0"/>
          </reference>
        </references>
      </pivotArea>
    </chartFormat>
    <chartFormat chart="0" format="6">
      <pivotArea type="data" outline="0" fieldPosition="0">
        <references count="2">
          <reference field="4294967294" count="1" selected="0">
            <x v="1"/>
          </reference>
          <reference field="4" count="1" selected="0">
            <x v="1"/>
          </reference>
        </references>
      </pivotArea>
    </chartFormat>
    <chartFormat chart="0" format="7">
      <pivotArea type="data" outline="0" fieldPosition="0">
        <references count="2">
          <reference field="4294967294" count="1" selected="0">
            <x v="1"/>
          </reference>
          <reference field="4" count="1" selected="0">
            <x v="2"/>
          </reference>
        </references>
      </pivotArea>
    </chartFormat>
    <chartFormat chart="0" format="8">
      <pivotArea type="data" outline="0" fieldPosition="0">
        <references count="2">
          <reference field="4294967294" count="1" selected="0">
            <x v="3"/>
          </reference>
          <reference field="4" count="1" selected="0">
            <x v="4"/>
          </reference>
        </references>
      </pivotArea>
    </chartFormat>
    <chartFormat chart="0" format="9">
      <pivotArea type="data" outline="0" fieldPosition="0">
        <references count="2">
          <reference field="4294967294" count="1" selected="0">
            <x v="3"/>
          </reference>
          <reference field="4" count="1" selected="0">
            <x v="3"/>
          </reference>
        </references>
      </pivotArea>
    </chartFormat>
    <chartFormat chart="0" format="10">
      <pivotArea type="data" outline="0" fieldPosition="0">
        <references count="2">
          <reference field="4294967294" count="1" selected="0">
            <x v="2"/>
          </reference>
          <reference field="4" count="1" selected="0">
            <x v="4"/>
          </reference>
        </references>
      </pivotArea>
    </chartFormat>
    <chartFormat chart="0" format="11">
      <pivotArea type="data" outline="0" fieldPosition="0">
        <references count="2">
          <reference field="4294967294" count="1" selected="0">
            <x v="3"/>
          </reference>
          <reference field="4" count="1" selected="0">
            <x v="2"/>
          </reference>
        </references>
      </pivotArea>
    </chartFormat>
    <chartFormat chart="0" format="12">
      <pivotArea type="data" outline="0" fieldPosition="0">
        <references count="2">
          <reference field="4294967294" count="1" selected="0">
            <x v="2"/>
          </reference>
          <reference field="4" count="1" selected="0">
            <x v="2"/>
          </reference>
        </references>
      </pivotArea>
    </chartFormat>
    <chartFormat chart="0" format="13">
      <pivotArea type="data" outline="0" fieldPosition="0">
        <references count="2">
          <reference field="4294967294" count="1" selected="0">
            <x v="3"/>
          </reference>
          <reference field="4" count="1" selected="0">
            <x v="0"/>
          </reference>
        </references>
      </pivotArea>
    </chartFormat>
    <chartFormat chart="0" format="14">
      <pivotArea type="data" outline="0" fieldPosition="0">
        <references count="2">
          <reference field="4294967294" count="1" selected="0">
            <x v="3"/>
          </reference>
          <reference field="4" count="1" selected="0">
            <x v="1"/>
          </reference>
        </references>
      </pivotArea>
    </chartFormat>
    <chartFormat chart="0" format="15">
      <pivotArea type="data" outline="0" fieldPosition="0">
        <references count="2">
          <reference field="4294967294" count="1" selected="0">
            <x v="0"/>
          </reference>
          <reference field="4" count="1" selected="0">
            <x v="4"/>
          </reference>
        </references>
      </pivotArea>
    </chartFormat>
    <chartFormat chart="4" format="20" series="1">
      <pivotArea type="data" outline="0" fieldPosition="0">
        <references count="1">
          <reference field="4294967294" count="1" selected="0">
            <x v="2"/>
          </reference>
        </references>
      </pivotArea>
    </chartFormat>
    <chartFormat chart="4" format="21" series="1">
      <pivotArea type="data" outline="0" fieldPosition="0">
        <references count="1">
          <reference field="4294967294" count="1" selected="0">
            <x v="3"/>
          </reference>
        </references>
      </pivotArea>
    </chartFormat>
    <chartFormat chart="4" format="22" series="1">
      <pivotArea type="data" outline="0" fieldPosition="0">
        <references count="1">
          <reference field="4294967294" count="1" selected="0">
            <x v="0"/>
          </reference>
        </references>
      </pivotArea>
    </chartFormat>
    <chartFormat chart="4" format="23" series="1">
      <pivotArea type="data" outline="0" fieldPosition="0">
        <references count="1">
          <reference field="4294967294" count="1" selected="0">
            <x v="1"/>
          </reference>
        </references>
      </pivotArea>
    </chartFormat>
  </chartFormats>
  <pivotHierarchies count="58">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Medium17"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SR]"/>
        <x15:activeTabTopLevelEntity name="[SexRatio]"/>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4" cacheId="8" applyNumberFormats="0" applyBorderFormats="0" applyFontFormats="0" applyPatternFormats="0" applyAlignmentFormats="0" applyWidthHeightFormats="1" dataCaption="Values" tag="69999161-f42c-484d-b82a-40dc73bb527c" updatedVersion="6" minRefreshableVersion="3" useAutoFormatting="1" subtotalHiddenItems="1" itemPrintTitles="1" createdVersion="5" indent="0" outline="1" outlineData="1" multipleFieldFilters="0" chartFormat="14" rowHeaderCaption="Sub-category">
  <location ref="A3:C39" firstHeaderRow="0" firstDataRow="1" firstDataCol="1"/>
  <pivotFields count="3">
    <pivotField axis="axisRow" allDrilled="1" showAll="0" defaultAttributeDrillState="1">
      <items count="36">
        <item x="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showAll="0"/>
    <pivotField dataField="1" showAll="0"/>
  </pivotFields>
  <rowFields count="1">
    <field x="0"/>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Fields count="1">
    <field x="-2"/>
  </colFields>
  <colItems count="2">
    <i>
      <x/>
    </i>
    <i i="1">
      <x v="1"/>
    </i>
  </colItems>
  <dataFields count="2">
    <dataField name="Sum of RANK(L.R.)" fld="1" baseField="0" baseItem="0"/>
    <dataField name="Sum of RANK(S.R.)" fld="2" baseField="0" baseItem="0"/>
  </dataFields>
  <formats count="12">
    <format dxfId="54">
      <pivotArea type="all" dataOnly="0" outline="0" fieldPosition="0"/>
    </format>
    <format dxfId="53">
      <pivotArea outline="0" collapsedLevelsAreSubtotals="1" fieldPosition="0"/>
    </format>
    <format dxfId="52">
      <pivotArea field="0" type="button" dataOnly="0" labelOnly="1" outline="0" axis="axisRow" fieldPosition="0"/>
    </format>
    <format dxfId="51">
      <pivotArea dataOnly="0" labelOnly="1" fieldPosition="0">
        <references count="1">
          <reference field="0" count="0"/>
        </references>
      </pivotArea>
    </format>
    <format dxfId="50">
      <pivotArea dataOnly="0" labelOnly="1" grandRow="1" outline="0" fieldPosition="0"/>
    </format>
    <format dxfId="49">
      <pivotArea dataOnly="0" labelOnly="1" outline="0" fieldPosition="0">
        <references count="1">
          <reference field="4294967294" count="2">
            <x v="0"/>
            <x v="1"/>
          </reference>
        </references>
      </pivotArea>
    </format>
    <format dxfId="48">
      <pivotArea field="0" type="button" dataOnly="0" labelOnly="1" outline="0" axis="axisRow" fieldPosition="0"/>
    </format>
    <format dxfId="47">
      <pivotArea dataOnly="0" labelOnly="1" outline="0" fieldPosition="0">
        <references count="1">
          <reference field="4294967294" count="2">
            <x v="0"/>
            <x v="1"/>
          </reference>
        </references>
      </pivotArea>
    </format>
    <format dxfId="46">
      <pivotArea collapsedLevelsAreSubtotals="1" fieldPosition="0">
        <references count="1">
          <reference field="0" count="0"/>
        </references>
      </pivotArea>
    </format>
    <format dxfId="45">
      <pivotArea dataOnly="0" labelOnly="1" fieldPosition="0">
        <references count="1">
          <reference field="0" count="0"/>
        </references>
      </pivotArea>
    </format>
    <format dxfId="44">
      <pivotArea grandRow="1" outline="0" collapsedLevelsAreSubtotals="1" fieldPosition="0"/>
    </format>
    <format dxfId="43">
      <pivotArea dataOnly="0" labelOnly="1" grandRow="1" outline="0"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5]"/>
        <x15:activeTabTopLevelEntity name="[SexRatio]"/>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3" cacheId="5" applyNumberFormats="0" applyBorderFormats="0" applyFontFormats="0" applyPatternFormats="0" applyAlignmentFormats="0" applyWidthHeightFormats="1" dataCaption="Values" tag="4824ca3f-a41e-4108-995f-7c5955b106ce" updatedVersion="5" minRefreshableVersion="3" useAutoFormatting="1" subtotalHiddenItems="1" itemPrintTitles="1" createdVersion="5" indent="0" outline="1" outlineData="1" multipleFieldFilters="0" chartFormat="13" rowHeaderCaption="Sub-category">
  <location ref="A3:C39" firstHeaderRow="0" firstDataRow="1" firstDataCol="1"/>
  <pivotFields count="3">
    <pivotField axis="axisRow" allDrilled="1" showAll="0" dataSourceSort="1"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t="default"/>
      </items>
    </pivotField>
    <pivotField dataField="1" showAll="0"/>
    <pivotField dataField="1" showAll="0"/>
  </pivotFields>
  <rowFields count="1">
    <field x="0"/>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t="grand">
      <x/>
    </i>
  </rowItems>
  <colFields count="1">
    <field x="-2"/>
  </colFields>
  <colItems count="2">
    <i>
      <x/>
    </i>
    <i i="1">
      <x v="1"/>
    </i>
  </colItems>
  <dataFields count="2">
    <dataField name="RANK DIFF." fld="1" baseField="0" baseItem="0"/>
    <dataField name="RANK DGR" fld="2" baseField="0" baseItem="0"/>
  </dataFields>
  <formats count="12">
    <format dxfId="42">
      <pivotArea type="all" dataOnly="0" outline="0" fieldPosition="0"/>
    </format>
    <format dxfId="41">
      <pivotArea outline="0" collapsedLevelsAreSubtotals="1" fieldPosition="0"/>
    </format>
    <format dxfId="40">
      <pivotArea field="0" type="button" dataOnly="0" labelOnly="1" outline="0" axis="axisRow" fieldPosition="0"/>
    </format>
    <format dxfId="39">
      <pivotArea dataOnly="0" labelOnly="1" fieldPosition="0">
        <references count="1">
          <reference field="0" count="0"/>
        </references>
      </pivotArea>
    </format>
    <format dxfId="38">
      <pivotArea dataOnly="0" labelOnly="1" grandRow="1" outline="0" fieldPosition="0"/>
    </format>
    <format dxfId="37">
      <pivotArea dataOnly="0" labelOnly="1" outline="0" fieldPosition="0">
        <references count="1">
          <reference field="4294967294" count="2">
            <x v="0"/>
            <x v="1"/>
          </reference>
        </references>
      </pivotArea>
    </format>
    <format dxfId="36">
      <pivotArea field="0" type="button" dataOnly="0" labelOnly="1" outline="0" axis="axisRow" fieldPosition="0"/>
    </format>
    <format dxfId="35">
      <pivotArea dataOnly="0" labelOnly="1" outline="0" fieldPosition="0">
        <references count="1">
          <reference field="4294967294" count="2">
            <x v="0"/>
            <x v="1"/>
          </reference>
        </references>
      </pivotArea>
    </format>
    <format dxfId="34">
      <pivotArea collapsedLevelsAreSubtotals="1" fieldPosition="0">
        <references count="1">
          <reference field="0" count="0"/>
        </references>
      </pivotArea>
    </format>
    <format dxfId="33">
      <pivotArea dataOnly="0" labelOnly="1" fieldPosition="0">
        <references count="1">
          <reference field="0" count="0"/>
        </references>
      </pivotArea>
    </format>
    <format dxfId="32">
      <pivotArea grandRow="1" outline="0" collapsedLevelsAreSubtotals="1" fieldPosition="0"/>
    </format>
    <format dxfId="31">
      <pivotArea dataOnly="0" labelOnly="1" grandRow="1" outline="0"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12" format="6"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1"/>
          </reference>
        </references>
      </pivotArea>
    </chartFormat>
  </chartFormat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RANK DIFF."/>
    <pivotHierarchy dragToData="1" caption="RANK DGR"/>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xcel etp project.xlsx!Table4">
        <x15:activeTabTopLevelEntity name="[Table4]"/>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018058C-F435-4CDC-81C3-D5492D12CCC5}" name="PivotTable1"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C5" firstHeaderRow="0" firstDataRow="1" firstDataCol="1"/>
  <pivotFields count="14">
    <pivotField showAll="0"/>
    <pivotField showAll="0"/>
    <pivotField axis="axisRow" showAll="0">
      <items count="38">
        <item h="1" x="29"/>
        <item h="1" x="1"/>
        <item x="2"/>
        <item h="1" x="3"/>
        <item h="1" x="4"/>
        <item h="1" x="30"/>
        <item h="1" x="5"/>
        <item h="1" x="31"/>
        <item h="1" x="32"/>
        <item h="1" x="6"/>
        <item h="1" x="7"/>
        <item h="1" x="8"/>
        <item h="1" x="9"/>
        <item h="1" x="0"/>
        <item h="1" x="10"/>
        <item h="1" x="11"/>
        <item h="1" x="12"/>
        <item h="1" x="13"/>
        <item h="1" x="33"/>
        <item h="1" x="14"/>
        <item h="1" x="15"/>
        <item h="1" x="16"/>
        <item h="1" x="17"/>
        <item h="1" x="18"/>
        <item h="1" x="19"/>
        <item h="1" x="34"/>
        <item h="1" x="20"/>
        <item h="1" x="35"/>
        <item h="1" x="21"/>
        <item h="1" x="22"/>
        <item h="1" x="23"/>
        <item h="1" x="24"/>
        <item h="1" x="25"/>
        <item h="1" x="26"/>
        <item h="1" x="27"/>
        <item h="1" x="28"/>
        <item h="1" m="1" x="36"/>
        <item t="default"/>
      </items>
    </pivotField>
    <pivotField dataField="1" showAll="0"/>
    <pivotField dataField="1"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2">
    <i>
      <x v="2"/>
    </i>
    <i t="grand">
      <x/>
    </i>
  </rowItems>
  <colFields count="1">
    <field x="-2"/>
  </colFields>
  <colItems count="2">
    <i>
      <x/>
    </i>
    <i i="1">
      <x v="1"/>
    </i>
  </colItems>
  <dataFields count="2">
    <dataField name="Sum of  Total - 2001" fld="3" baseField="0" baseItem="0"/>
    <dataField name="Sum of  Total - 2011"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3F1FB2F-F01E-47DE-A2B2-EE348A4FE2DC}" name="PivotTable6" cacheId="7" applyNumberFormats="0" applyBorderFormats="0" applyFontFormats="0" applyPatternFormats="0" applyAlignmentFormats="0" applyWidthHeightFormats="1" dataCaption="Values" tag="011b6a70-2fa0-4ed4-8800-57b5a2444542" updatedVersion="6" minRefreshableVersion="3" useAutoFormatting="1" itemPrintTitles="1" createdVersion="6" indent="0" outline="1" outlineData="1" multipleFieldFilters="0">
  <location ref="D3:E9" firstHeaderRow="1" firstDataRow="1" firstDataCol="1"/>
  <pivotFields count="2">
    <pivotField axis="axisRow" allDrilled="1" subtotalTop="0" showAll="0" measureFilter="1"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name="Sum of Total - 2011" fld="1" baseField="0" baseItem="0"/>
  </dataField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8">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pro111111.xlsx!SexRatio">
        <x15:activeTabTopLevelEntity name="[SexRat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5759996-152D-4EF0-A326-B147EB6134E0}" name="PivotTable5" cacheId="6" applyNumberFormats="0" applyBorderFormats="0" applyFontFormats="0" applyPatternFormats="0" applyAlignmentFormats="0" applyWidthHeightFormats="1" dataCaption="Values" tag="6cf9894c-ca34-4698-84f1-066622d606e3" updatedVersion="6" minRefreshableVersion="3" useAutoFormatting="1" itemPrintTitles="1" createdVersion="6" indent="0" outline="1" outlineData="1" multipleFieldFilters="0">
  <location ref="A3:B9" firstHeaderRow="1" firstDataRow="1" firstDataCol="1"/>
  <pivotFields count="2">
    <pivotField axis="axisRow" allDrilled="1" subtotalTop="0" showAll="0" measureFilter="1" dataSourceSort="1"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name="Sum of Total - 2001" fld="1" baseField="0" baseItem="0"/>
  </dataFields>
  <pivotHierarchies count="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47">
      <autoFilter ref="A1">
        <filterColumn colId="0">
          <top10 val="5" filterVal="5"/>
        </filterColumn>
      </autoFilter>
    </filter>
  </filters>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ropro111111.xlsx!SexRatio">
        <x15:activeTabTopLevelEntity name="[SexRat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6EE25CD-B6CB-4715-84AE-75290121B933}" name="PivotTable7"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B26" firstHeaderRow="1" firstDataRow="1" firstDataCol="1"/>
  <pivotFields count="14">
    <pivotField showAll="0"/>
    <pivotField showAll="0"/>
    <pivotField axis="axisRow" showAll="0" measureFilter="1">
      <items count="38">
        <item x="29"/>
        <item x="1"/>
        <item x="2"/>
        <item x="3"/>
        <item x="4"/>
        <item x="30"/>
        <item x="5"/>
        <item x="31"/>
        <item x="32"/>
        <item x="6"/>
        <item x="7"/>
        <item x="8"/>
        <item x="9"/>
        <item x="0"/>
        <item x="10"/>
        <item x="11"/>
        <item x="12"/>
        <item x="13"/>
        <item x="33"/>
        <item x="14"/>
        <item x="15"/>
        <item x="16"/>
        <item x="17"/>
        <item x="18"/>
        <item x="19"/>
        <item x="34"/>
        <item x="20"/>
        <item x="35"/>
        <item x="21"/>
        <item x="22"/>
        <item x="23"/>
        <item x="24"/>
        <item x="25"/>
        <item x="26"/>
        <item x="27"/>
        <item x="28"/>
        <item m="1" x="36"/>
        <item t="default"/>
      </items>
    </pivotField>
    <pivotField dataField="1" showAll="0"/>
    <pivotField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23">
    <i>
      <x v="1"/>
    </i>
    <i>
      <x v="3"/>
    </i>
    <i>
      <x v="6"/>
    </i>
    <i>
      <x v="9"/>
    </i>
    <i>
      <x v="10"/>
    </i>
    <i>
      <x v="12"/>
    </i>
    <i>
      <x v="13"/>
    </i>
    <i>
      <x v="15"/>
    </i>
    <i>
      <x v="16"/>
    </i>
    <i>
      <x v="17"/>
    </i>
    <i>
      <x v="18"/>
    </i>
    <i>
      <x v="20"/>
    </i>
    <i>
      <x v="21"/>
    </i>
    <i>
      <x v="22"/>
    </i>
    <i>
      <x v="23"/>
    </i>
    <i>
      <x v="26"/>
    </i>
    <i>
      <x v="27"/>
    </i>
    <i>
      <x v="29"/>
    </i>
    <i>
      <x v="31"/>
    </i>
    <i>
      <x v="32"/>
    </i>
    <i>
      <x v="34"/>
    </i>
    <i>
      <x v="35"/>
    </i>
    <i t="grand">
      <x/>
    </i>
  </rowItems>
  <colItems count="1">
    <i/>
  </colItems>
  <dataFields count="1">
    <dataField name="Sum of  Total - 2001" fld="3" baseField="0" baseItem="0"/>
  </dataFields>
  <pivotTableStyleInfo name="PivotStyleLight16" showRowHeaders="1" showColHeaders="1" showRowStripes="0" showColStripes="0" showLastColumn="1"/>
  <filters count="1">
    <filter fld="2" type="valueGreaterThan" evalOrder="-1" id="1" iMeasureFld="0">
      <autoFilter ref="A1">
        <filterColumn colId="0">
          <customFilters>
            <customFilter operator="greaterThan" val="919"/>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816CF32-2EA6-4848-964C-868CF1E0C8FC}" name="PivotTable10"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B9" firstHeaderRow="1" firstDataRow="1" firstDataCol="1"/>
  <pivotFields count="14">
    <pivotField showAll="0"/>
    <pivotField showAll="0"/>
    <pivotField axis="axisRow" showAll="0" measureFilter="1">
      <items count="38">
        <item x="29"/>
        <item x="1"/>
        <item x="2"/>
        <item x="3"/>
        <item x="4"/>
        <item x="30"/>
        <item x="5"/>
        <item x="31"/>
        <item x="32"/>
        <item x="6"/>
        <item x="7"/>
        <item x="8"/>
        <item x="9"/>
        <item x="0"/>
        <item x="10"/>
        <item x="11"/>
        <item x="12"/>
        <item x="13"/>
        <item x="33"/>
        <item x="14"/>
        <item x="15"/>
        <item x="16"/>
        <item x="17"/>
        <item x="18"/>
        <item x="19"/>
        <item x="34"/>
        <item x="20"/>
        <item x="35"/>
        <item x="21"/>
        <item x="22"/>
        <item x="23"/>
        <item x="24"/>
        <item x="25"/>
        <item x="26"/>
        <item x="27"/>
        <item x="28"/>
        <item m="1" x="36"/>
        <item t="default"/>
      </items>
    </pivotField>
    <pivotField showAll="0"/>
    <pivotField dataField="1" showAll="0"/>
    <pivotField showAll="0"/>
    <pivotField showAll="0"/>
    <pivotField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6">
    <i>
      <x/>
    </i>
    <i>
      <x v="5"/>
    </i>
    <i>
      <x v="7"/>
    </i>
    <i>
      <x v="8"/>
    </i>
    <i>
      <x v="25"/>
    </i>
    <i t="grand">
      <x/>
    </i>
  </rowItems>
  <colItems count="1">
    <i/>
  </colItems>
  <dataFields count="1">
    <dataField name="Sum of  Total - 2011" fld="4" baseField="0" baseItem="0"/>
  </dataFields>
  <pivotTableStyleInfo name="PivotStyleLight16" showRowHeaders="1" showColHeaders="1" showRowStripes="0" showColStripes="0" showLastColumn="1"/>
  <filters count="1">
    <filter fld="2"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2F0147A-3E67-42CB-B02F-351ACA4D1DFC}" name="PivotTable9"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9" firstHeaderRow="1" firstDataRow="1" firstDataCol="1"/>
  <pivotFields count="4">
    <pivotField showAll="0"/>
    <pivotField axis="axisRow" showAll="0" measureFilter="1">
      <items count="37">
        <item x="29"/>
        <item x="1"/>
        <item x="2"/>
        <item x="3"/>
        <item x="4"/>
        <item x="30"/>
        <item x="5"/>
        <item x="31"/>
        <item x="32"/>
        <item x="6"/>
        <item x="7"/>
        <item x="8"/>
        <item x="9"/>
        <item x="0"/>
        <item x="10"/>
        <item x="11"/>
        <item x="12"/>
        <item x="13"/>
        <item x="33"/>
        <item x="14"/>
        <item x="15"/>
        <item x="16"/>
        <item x="17"/>
        <item x="18"/>
        <item x="19"/>
        <item x="34"/>
        <item x="20"/>
        <item x="35"/>
        <item x="21"/>
        <item x="22"/>
        <item x="23"/>
        <item x="24"/>
        <item x="25"/>
        <item x="26"/>
        <item x="27"/>
        <item x="28"/>
        <item t="default"/>
      </items>
    </pivotField>
    <pivotField dataField="1" showAll="0"/>
    <pivotField showAll="0"/>
  </pivotFields>
  <rowFields count="1">
    <field x="1"/>
  </rowFields>
  <rowItems count="6">
    <i>
      <x v="5"/>
    </i>
    <i>
      <x v="9"/>
    </i>
    <i>
      <x v="17"/>
    </i>
    <i>
      <x v="18"/>
    </i>
    <i>
      <x v="23"/>
    </i>
    <i t="grand">
      <x/>
    </i>
  </rowItems>
  <colItems count="1">
    <i/>
  </colItems>
  <dataFields count="1">
    <dataField name="Sum of Literacy Rate-2001" fld="2" baseField="0" baseItem="0"/>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30A7017-2610-4230-A71C-415D3D84B7F4}" name="PivotTable8"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23" firstHeaderRow="1" firstDataRow="1" firstDataCol="1"/>
  <pivotFields count="10">
    <pivotField showAll="0"/>
    <pivotField showAll="0"/>
    <pivotField axis="axisRow" showAll="0" measureFilter="1">
      <items count="36">
        <item x="28"/>
        <item x="20"/>
        <item x="33"/>
        <item x="26"/>
        <item x="5"/>
        <item x="31"/>
        <item x="7"/>
        <item x="1"/>
        <item x="0"/>
        <item x="16"/>
        <item x="4"/>
        <item x="24"/>
        <item x="8"/>
        <item x="2"/>
        <item x="12"/>
        <item x="14"/>
        <item x="27"/>
        <item x="3"/>
        <item x="18"/>
        <item x="10"/>
        <item x="13"/>
        <item x="23"/>
        <item x="32"/>
        <item x="29"/>
        <item x="34"/>
        <item x="9"/>
        <item x="30"/>
        <item x="25"/>
        <item x="11"/>
        <item x="21"/>
        <item x="15"/>
        <item x="17"/>
        <item x="19"/>
        <item x="6"/>
        <item x="22"/>
        <item t="default"/>
      </items>
    </pivotField>
    <pivotField showAll="0"/>
    <pivotField showAll="0"/>
    <pivotField dataField="1" showAll="0"/>
    <pivotField showAll="0"/>
    <pivotField showAll="0"/>
    <pivotField showAll="0"/>
    <pivotField showAll="0"/>
  </pivotFields>
  <rowFields count="1">
    <field x="2"/>
  </rowFields>
  <rowItems count="20">
    <i>
      <x/>
    </i>
    <i>
      <x v="1"/>
    </i>
    <i>
      <x v="2"/>
    </i>
    <i>
      <x v="3"/>
    </i>
    <i>
      <x v="5"/>
    </i>
    <i>
      <x v="9"/>
    </i>
    <i>
      <x v="11"/>
    </i>
    <i>
      <x v="16"/>
    </i>
    <i>
      <x v="18"/>
    </i>
    <i>
      <x v="21"/>
    </i>
    <i>
      <x v="22"/>
    </i>
    <i>
      <x v="23"/>
    </i>
    <i>
      <x v="24"/>
    </i>
    <i>
      <x v="26"/>
    </i>
    <i>
      <x v="27"/>
    </i>
    <i>
      <x v="29"/>
    </i>
    <i>
      <x v="31"/>
    </i>
    <i>
      <x v="32"/>
    </i>
    <i>
      <x v="34"/>
    </i>
    <i t="grand">
      <x/>
    </i>
  </rowItems>
  <colItems count="1">
    <i/>
  </colItems>
  <dataFields count="1">
    <dataField name="Sum of Difference" fld="5"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valueGreaterThan" evalOrder="-1" id="1" iMeasureFld="0">
      <autoFilter ref="A1">
        <filterColumn colId="0">
          <customFilters>
            <customFilter operator="greaterThan" val="11.2"/>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51:K68" firstHeaderRow="1" firstDataRow="1" firstDataCol="0"/>
  <pivotFields count="8">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S" xr10:uid="{00000000-0013-0000-FFFF-FFFF01000000}" sourceName="ZONES">
  <pivotTables>
    <pivotTable tabId="15" name="complete_graph_pivot"/>
  </pivotTables>
  <data>
    <tabular pivotCacheId="2" showMissing="0">
      <items count="9">
        <i x="4" s="1"/>
        <i x="0"/>
        <i x="3"/>
        <i x="6"/>
        <i x="2"/>
        <i x="1"/>
        <i x="7"/>
        <i x="5"/>
        <i x="8"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00000000-0013-0000-FFFF-FFFF02000000}" sourceName="[SexRatio].[Sub-category]">
  <pivotTables>
    <pivotTable tabId="23" name="PivotTable4"/>
  </pivotTables>
  <data>
    <olap pivotCacheId="29">
      <levels count="2">
        <level uniqueName="[SexRatio].[Sub-category].[(All)]" sourceCaption="(All)" count="0"/>
        <level uniqueName="[SexRatio].[Sub-category].[Sub-category]" sourceCaption="Sub-category" count="36">
          <ranges>
            <range startItem="0">
              <i n="[SexRatio].[Sub-category].&amp;[A &amp; N Islands]" c="A &amp; N Islands"/>
              <i n="[SexRatio].[Sub-category].&amp;[Andhra Pradesh]" c="Andhra Pradesh"/>
              <i n="[SexRatio].[Sub-category].&amp;[Arunachal Pradesh]" c="Arunachal Pradesh"/>
              <i n="[SexRatio].[Sub-category].&amp;[Assam]" c="Assam"/>
              <i n="[SexRatio].[Sub-category].&amp;[Bihar]" c="Bihar"/>
              <i n="[SexRatio].[Sub-category].&amp;[Chandigarh]" c="Chandigarh"/>
              <i n="[SexRatio].[Sub-category].&amp;[Chhattisgarh]" c="Chhattisgarh"/>
              <i n="[SexRatio].[Sub-category].&amp;[D &amp; N Haveli]" c="D &amp; N Haveli"/>
              <i n="[SexRatio].[Sub-category].&amp;[Daman &amp; Diu]" c="Daman &amp; Diu"/>
              <i n="[SexRatio].[Sub-category].&amp;[Goa]" c="Goa"/>
              <i n="[SexRatio].[Sub-category].&amp;[Gujarat]" c="Gujarat"/>
              <i n="[SexRatio].[Sub-category].&amp;[Haryana]" c="Haryana"/>
              <i n="[SexRatio].[Sub-category].&amp;[Himachal Pradesh]" c="Himachal Pradesh"/>
              <i n="[SexRatio].[Sub-category].&amp;[Jammu &amp; Kashmir]" c="Jammu &amp; Kashmir"/>
              <i n="[SexRatio].[Sub-category].&amp;[Jharkhand]" c="Jharkhand"/>
              <i n="[SexRatio].[Sub-category].&amp;[Karnataka]" c="Karnataka"/>
              <i n="[SexRatio].[Sub-category].&amp;[Kerala]" c="Kerala"/>
              <i n="[SexRatio].[Sub-category].&amp;[Lakshadweep]" c="Lakshadweep"/>
              <i n="[SexRatio].[Sub-category].&amp;[Madhya Pradesh]" c="Madhya Pradesh"/>
              <i n="[SexRatio].[Sub-category].&amp;[Maharashtra]" c="Maharashtra"/>
              <i n="[SexRatio].[Sub-category].&amp;[Manipur]" c="Manipur"/>
              <i n="[SexRatio].[Sub-category].&amp;[Meghalaya]" c="Meghalaya"/>
              <i n="[SexRatio].[Sub-category].&amp;[Mizoram]" c="Mizoram"/>
              <i n="[SexRatio].[Sub-category].&amp;[Nagaland]" c="Nagaland"/>
              <i n="[SexRatio].[Sub-category].&amp;[NCT of Delhi]" c="NCT of Delhi"/>
              <i n="[SexRatio].[Sub-category].&amp;[Odisha]" c="Odisha"/>
              <i n="[SexRatio].[Sub-category].&amp;[Puducherry]" c="Puducherry"/>
              <i n="[SexRatio].[Sub-category].&amp;[Punjab]" c="Punjab"/>
              <i n="[SexRatio].[Sub-category].&amp;[Rajasthan]" c="Rajasthan"/>
              <i n="[SexRatio].[Sub-category].&amp;[Sikkim]" c="Sikkim"/>
              <i n="[SexRatio].[Sub-category].&amp;[Tamil Nadu]" c="Tamil Nadu"/>
              <i n="[SexRatio].[Sub-category].&amp;[Tripura]" c="Tripura"/>
              <i n="[SexRatio].[Sub-category].&amp;[Uttar Pradesh]" c="Uttar Pradesh"/>
              <i n="[SexRatio].[Sub-category].&amp;[Uttarakhand]" c="Uttarakhand"/>
              <i n="[SexRatio].[Sub-category].&amp;[West Bengal]" c="West Bengal"/>
              <i n="[SexRatio].[Sub-category].&amp;[INDIA]" c="INDIA" nd="1"/>
            </range>
          </ranges>
        </level>
      </levels>
      <selections count="1">
        <selection n="[SexRatio].[Sub-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1" xr10:uid="{00000000-0013-0000-FFFF-FFFF03000000}" sourceName="[Table4].[Sub-category]">
  <pivotTables>
    <pivotTable tabId="22" name="PivotTable3"/>
  </pivotTables>
  <data>
    <olap pivotCacheId="28">
      <levels count="2">
        <level uniqueName="[Table4].[Sub-category].[(All)]" sourceCaption="(All)" count="0"/>
        <level uniqueName="[Table4].[Sub-category].[Sub-category]" sourceCaption="Sub-category" count="35">
          <ranges>
            <range startItem="0">
              <i n="[Table4].[Sub-category].&amp;[A &amp; N Islands]" c="A &amp; N Islands"/>
              <i n="[Table4].[Sub-category].&amp;[Andhra Pradesh]" c="Andhra Pradesh"/>
              <i n="[Table4].[Sub-category].&amp;[Arunachal Pradesh]" c="Arunachal Pradesh"/>
              <i n="[Table4].[Sub-category].&amp;[Assam]" c="Assam"/>
              <i n="[Table4].[Sub-category].&amp;[Bihar]" c="Bihar"/>
              <i n="[Table4].[Sub-category].&amp;[Chandigarh]" c="Chandigarh"/>
              <i n="[Table4].[Sub-category].&amp;[Chhattisgarh]" c="Chhattisgarh"/>
              <i n="[Table4].[Sub-category].&amp;[D &amp; N Haveli]" c="D &amp; N Haveli"/>
              <i n="[Table4].[Sub-category].&amp;[Daman &amp; Diu]" c="Daman &amp; Diu"/>
              <i n="[Table4].[Sub-category].&amp;[Goa]" c="Goa"/>
              <i n="[Table4].[Sub-category].&amp;[Gujarat]" c="Gujarat"/>
              <i n="[Table4].[Sub-category].&amp;[Haryana]" c="Haryana"/>
              <i n="[Table4].[Sub-category].&amp;[Himachal Pradesh]" c="Himachal Pradesh"/>
              <i n="[Table4].[Sub-category].&amp;[Jammu &amp; Kashmir]" c="Jammu &amp; Kashmir"/>
              <i n="[Table4].[Sub-category].&amp;[Jharkhand]" c="Jharkhand"/>
              <i n="[Table4].[Sub-category].&amp;[Karnataka]" c="Karnataka"/>
              <i n="[Table4].[Sub-category].&amp;[Kerala]" c="Kerala"/>
              <i n="[Table4].[Sub-category].&amp;[Lakshadweep]" c="Lakshadweep"/>
              <i n="[Table4].[Sub-category].&amp;[Madhya Pradesh]" c="Madhya Pradesh"/>
              <i n="[Table4].[Sub-category].&amp;[Maharashtra]" c="Maharashtra"/>
              <i n="[Table4].[Sub-category].&amp;[Manipur]" c="Manipur"/>
              <i n="[Table4].[Sub-category].&amp;[Meghalaya]" c="Meghalaya"/>
              <i n="[Table4].[Sub-category].&amp;[Mizoram]" c="Mizoram"/>
              <i n="[Table4].[Sub-category].&amp;[Nagaland]" c="Nagaland"/>
              <i n="[Table4].[Sub-category].&amp;[NCT of Delhi]" c="NCT of Delhi"/>
              <i n="[Table4].[Sub-category].&amp;[Odisha]" c="Odisha"/>
              <i n="[Table4].[Sub-category].&amp;[Puducherry]" c="Puducherry"/>
              <i n="[Table4].[Sub-category].&amp;[Punjab]" c="Punjab"/>
              <i n="[Table4].[Sub-category].&amp;[Rajasthan]" c="Rajasthan"/>
              <i n="[Table4].[Sub-category].&amp;[Sikkim]" c="Sikkim"/>
              <i n="[Table4].[Sub-category].&amp;[Tamil Nadu]" c="Tamil Nadu"/>
              <i n="[Table4].[Sub-category].&amp;[Tripura]" c="Tripura"/>
              <i n="[Table4].[Sub-category].&amp;[Uttar Pradesh]" c="Uttar Pradesh"/>
              <i n="[Table4].[Sub-category].&amp;[Uttarakhand]" c="Uttarakhand"/>
              <i n="[Table4].[Sub-category].&amp;[West Bengal]" c="West Bengal"/>
            </range>
          </ranges>
        </level>
      </levels>
      <selections count="1">
        <selection n="[Table4].[Sub-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3" xr10:uid="{00000000-0013-0000-FFFF-FFFF04000000}" sourceName="[SexRatio].[Sub-category]">
  <pivotTables>
    <pivotTable tabId="7" name="csr_s_sr_pivot"/>
  </pivotTables>
  <data>
    <olap pivotCacheId="30">
      <levels count="2">
        <level uniqueName="[SexRatio].[Sub-category].[(All)]" sourceCaption="(All)" count="0"/>
        <level uniqueName="[SexRatio].[Sub-category].[Sub-category]" sourceCaption="Sub-category" count="36">
          <ranges>
            <range startItem="0">
              <i n="[SexRatio].[Sub-category].&amp;[A &amp; N Islands]" c="A &amp; N Islands"/>
              <i n="[SexRatio].[Sub-category].&amp;[Andhra Pradesh]" c="Andhra Pradesh"/>
              <i n="[SexRatio].[Sub-category].&amp;[Arunachal Pradesh]" c="Arunachal Pradesh"/>
              <i n="[SexRatio].[Sub-category].&amp;[Assam]" c="Assam"/>
              <i n="[SexRatio].[Sub-category].&amp;[Bihar]" c="Bihar"/>
              <i n="[SexRatio].[Sub-category].&amp;[Chandigarh]" c="Chandigarh"/>
              <i n="[SexRatio].[Sub-category].&amp;[Chhattisgarh]" c="Chhattisgarh"/>
              <i n="[SexRatio].[Sub-category].&amp;[D &amp; N Haveli]" c="D &amp; N Haveli"/>
              <i n="[SexRatio].[Sub-category].&amp;[Daman &amp; Diu]" c="Daman &amp; Diu"/>
              <i n="[SexRatio].[Sub-category].&amp;[Goa]" c="Goa"/>
              <i n="[SexRatio].[Sub-category].&amp;[Gujarat]" c="Gujarat"/>
              <i n="[SexRatio].[Sub-category].&amp;[Haryana]" c="Haryana"/>
              <i n="[SexRatio].[Sub-category].&amp;[Himachal Pradesh]" c="Himachal Pradesh"/>
              <i n="[SexRatio].[Sub-category].&amp;[INDIA]" c="INDIA"/>
              <i n="[SexRatio].[Sub-category].&amp;[Jammu &amp; Kashmir]" c="Jammu &amp; Kashmir"/>
              <i n="[SexRatio].[Sub-category].&amp;[Jharkhand]" c="Jharkhand"/>
              <i n="[SexRatio].[Sub-category].&amp;[Karnataka]" c="Karnataka"/>
              <i n="[SexRatio].[Sub-category].&amp;[Kerala]" c="Kerala"/>
              <i n="[SexRatio].[Sub-category].&amp;[Lakshadweep]" c="Lakshadweep"/>
              <i n="[SexRatio].[Sub-category].&amp;[Madhya Pradesh]" c="Madhya Pradesh"/>
              <i n="[SexRatio].[Sub-category].&amp;[Maharashtra]" c="Maharashtra"/>
              <i n="[SexRatio].[Sub-category].&amp;[Manipur]" c="Manipur"/>
              <i n="[SexRatio].[Sub-category].&amp;[Meghalaya]" c="Meghalaya"/>
              <i n="[SexRatio].[Sub-category].&amp;[Mizoram]" c="Mizoram"/>
              <i n="[SexRatio].[Sub-category].&amp;[Nagaland]" c="Nagaland"/>
              <i n="[SexRatio].[Sub-category].&amp;[NCT of Delhi]" c="NCT of Delhi"/>
              <i n="[SexRatio].[Sub-category].&amp;[Odisha]" c="Odisha"/>
              <i n="[SexRatio].[Sub-category].&amp;[Puducherry]" c="Puducherry"/>
              <i n="[SexRatio].[Sub-category].&amp;[Punjab]" c="Punjab"/>
              <i n="[SexRatio].[Sub-category].&amp;[Rajasthan]" c="Rajasthan"/>
              <i n="[SexRatio].[Sub-category].&amp;[Sikkim]" c="Sikkim"/>
              <i n="[SexRatio].[Sub-category].&amp;[Tamil Nadu]" c="Tamil Nadu"/>
              <i n="[SexRatio].[Sub-category].&amp;[Tripura]" c="Tripura"/>
              <i n="[SexRatio].[Sub-category].&amp;[Uttar Pradesh]" c="Uttar Pradesh"/>
              <i n="[SexRatio].[Sub-category].&amp;[Uttarakhand]" c="Uttarakhand"/>
              <i n="[SexRatio].[Sub-category].&amp;[West Bengal]" c="West Bengal"/>
            </range>
          </ranges>
        </level>
      </levels>
      <selections count="5">
        <selection n="[SexRatio].[Sub-category].&amp;[Bihar]"/>
        <selection n="[SexRatio].[Sub-category].&amp;[Madhya Pradesh]"/>
        <selection n="[SexRatio].[Sub-category].&amp;[Maharashtra]"/>
        <selection n="[SexRatio].[Sub-category].&amp;[Uttar Pradesh]"/>
        <selection n="[SexRatio].[Sub-category].&amp;[West Benga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ONES1" xr10:uid="{00000000-0013-0000-FFFF-FFFF05000000}" sourceName="ZONES">
  <pivotTables>
    <pivotTable tabId="3" name="abv_avg_pivot"/>
  </pivotTables>
  <data>
    <tabular pivotCacheId="2">
      <items count="9">
        <i x="4" s="1"/>
        <i x="0" s="1"/>
        <i x="3" s="1"/>
        <i x="6" s="1"/>
        <i x="2" s="1"/>
        <i x="1" s="1"/>
        <i x="7" s="1"/>
        <i x="5" s="1"/>
        <i x="8"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2" xr10:uid="{00000000-0013-0000-FFFF-FFFF06000000}" sourceName="Sub-category">
  <pivotTables>
    <pivotTable tabId="4" name="ratio_of_u.t._pivot"/>
  </pivotTables>
  <data>
    <tabular pivotCacheId="2">
      <items count="37">
        <i x="29" s="1"/>
        <i x="30" s="1"/>
        <i x="31" s="1"/>
        <i x="32" s="1"/>
        <i x="33" s="1"/>
        <i x="34" s="1"/>
        <i x="35" s="1"/>
        <i x="1" s="1" nd="1"/>
        <i x="2" s="1" nd="1"/>
        <i x="3" s="1" nd="1"/>
        <i x="4" s="1" nd="1"/>
        <i x="5" s="1" nd="1"/>
        <i x="6" s="1" nd="1"/>
        <i x="7" s="1" nd="1"/>
        <i x="8" s="1" nd="1"/>
        <i x="9" s="1" nd="1"/>
        <i x="0" s="1" nd="1"/>
        <i x="10" s="1" nd="1"/>
        <i x="11" s="1" nd="1"/>
        <i x="12" s="1" nd="1"/>
        <i x="13" s="1" nd="1"/>
        <i x="14" s="1" nd="1"/>
        <i x="15" s="1" nd="1"/>
        <i x="16" s="1" nd="1"/>
        <i x="17" s="1" nd="1"/>
        <i x="18" s="1" nd="1"/>
        <i x="19" s="1" nd="1"/>
        <i x="20" s="1" nd="1"/>
        <i x="21" s="1" nd="1"/>
        <i x="22" s="1" nd="1"/>
        <i x="23" s="1" nd="1"/>
        <i x="24" s="1" nd="1"/>
        <i x="25" s="1" nd="1"/>
        <i x="26" s="1" nd="1"/>
        <i x="27" s="1" nd="1"/>
        <i x="28" s="1" nd="1"/>
        <i x="36"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4" xr10:uid="{00000000-0013-0000-FFFF-FFFF07000000}" sourceName="Sub-category">
  <pivotTables>
    <pivotTable tabId="2" name="change_in_sex_ratio"/>
  </pivotTables>
  <data>
    <tabular pivotCacheId="2">
      <items count="37">
        <i x="29"/>
        <i x="1"/>
        <i x="2"/>
        <i x="3"/>
        <i x="4"/>
        <i x="30"/>
        <i x="5"/>
        <i x="31"/>
        <i x="32"/>
        <i x="6"/>
        <i x="7"/>
        <i x="8" s="1"/>
        <i x="9"/>
        <i x="0"/>
        <i x="10"/>
        <i x="11"/>
        <i x="12"/>
        <i x="13"/>
        <i x="33"/>
        <i x="14"/>
        <i x="15"/>
        <i x="16"/>
        <i x="17"/>
        <i x="18"/>
        <i x="19"/>
        <i x="34"/>
        <i x="20"/>
        <i x="35"/>
        <i x="21"/>
        <i x="22"/>
        <i x="23"/>
        <i x="24"/>
        <i x="25"/>
        <i x="26"/>
        <i x="27"/>
        <i x="28"/>
        <i x="36"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5" xr10:uid="{4CC7B4D2-536C-4C39-A05D-547298390A05}" sourceName="Sub-category">
  <pivotTables>
    <pivotTable tabId="24" name="PivotTable1"/>
  </pivotTables>
  <data>
    <tabular pivotCacheId="2">
      <items count="37">
        <i x="29"/>
        <i x="1"/>
        <i x="2" s="1"/>
        <i x="3"/>
        <i x="4"/>
        <i x="30"/>
        <i x="5"/>
        <i x="31"/>
        <i x="32"/>
        <i x="6"/>
        <i x="7"/>
        <i x="8"/>
        <i x="9"/>
        <i x="0"/>
        <i x="10"/>
        <i x="11"/>
        <i x="12"/>
        <i x="13"/>
        <i x="33"/>
        <i x="14"/>
        <i x="15"/>
        <i x="16"/>
        <i x="17"/>
        <i x="18"/>
        <i x="19"/>
        <i x="34"/>
        <i x="20"/>
        <i x="35"/>
        <i x="21"/>
        <i x="22"/>
        <i x="23"/>
        <i x="24"/>
        <i x="25"/>
        <i x="26"/>
        <i x="27"/>
        <i x="28"/>
        <i x="36"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ONES" xr10:uid="{00000000-0014-0000-FFFF-FFFF01000000}" cache="Slicer_ZONES" caption="ZONES" rowHeight="257175"/>
  <slicer name="Sub-category" xr10:uid="{00000000-0014-0000-FFFF-FFFF02000000}" cache="Slicer_Sub_category" caption="Sub-category" startItem="7" level="1" rowHeight="257175"/>
  <slicer name="Sub-category 1" xr10:uid="{00000000-0014-0000-FFFF-FFFF03000000}" cache="Slicer_Sub_category1" caption="Sub-category" startItem="10" level="1" rowHeight="257175"/>
  <slicer name="Sub-category 3" xr10:uid="{00000000-0014-0000-FFFF-FFFF04000000}" cache="Slicer_Sub_category3" caption="Sub-category" level="1" rowHeight="257175"/>
  <slicer name="ZONES 2" xr10:uid="{00000000-0014-0000-FFFF-FFFF05000000}" cache="Slicer_ZONES1" caption="ZONES" rowHeight="257175"/>
  <slicer name="Sub-category 2" xr10:uid="{00000000-0014-0000-FFFF-FFFF06000000}" cache="Slicer_Sub_category2" caption="Sub-category" rowHeight="257175"/>
  <slicer name="Sub-category 4" xr10:uid="{00000000-0014-0000-FFFF-FFFF07000000}" cache="Slicer_Sub_category4" caption="Sub-category" startItem="1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ONES 1" xr10:uid="{00000000-0014-0000-FFFF-FFFF08000000}" cache="Slicer_ZONES" caption="ZONES"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5" xr10:uid="{BB0C1008-F4EB-4D59-B0D6-D1DC9DF6394A}" cache="Slicer_Sub_category4" caption="Sub-category" startItem="7" rowHeight="2603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6" xr10:uid="{E4E7D8C7-D114-4606-9C21-742DA3111423}" cache="Slicer_Sub_category5" caption="Sub-category" rowHeight="2603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Table68" displayName="Table68" ref="N124:O131" totalsRowShown="0" headerRowDxfId="129" dataDxfId="127" headerRowBorderDxfId="128" tableBorderDxfId="126" totalsRowBorderDxfId="125">
  <autoFilter ref="N124:O131" xr:uid="{00000000-0009-0000-0100-000007000000}"/>
  <tableColumns count="2">
    <tableColumn id="1" xr3:uid="{00000000-0010-0000-0000-000001000000}" name="COEFFICIENT" dataDxfId="124"/>
    <tableColumn id="2" xr3:uid="{00000000-0010-0000-0000-000002000000}" name="CORRELATION" dataDxfId="123"/>
  </tableColumns>
  <tableStyleInfo name="TableStyleMedium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SexRatio" displayName="SexRatio" ref="A1:I37" totalsRowShown="0">
  <autoFilter ref="A1:I37" xr:uid="{00000000-0009-0000-0100-000001000000}">
    <filterColumn colId="0">
      <filters>
        <filter val="State"/>
        <filter val="Union Territory"/>
      </filters>
    </filterColumn>
  </autoFilter>
  <tableColumns count="9">
    <tableColumn id="1" xr3:uid="{00000000-0010-0000-0100-000001000000}" name="Category" totalsRowDxfId="30"/>
    <tableColumn id="9" xr3:uid="{00000000-0010-0000-0100-000009000000}" name="ZONES" totalsRowDxfId="29"/>
    <tableColumn id="2" xr3:uid="{00000000-0010-0000-0100-000002000000}" name="Sub-category" totalsRowDxfId="28"/>
    <tableColumn id="3" xr3:uid="{00000000-0010-0000-0100-000003000000}" name=" Total - 2001"/>
    <tableColumn id="4" xr3:uid="{00000000-0010-0000-0100-000004000000}" name=" Total - 2011" totalsRowDxfId="27"/>
    <tableColumn id="5" xr3:uid="{00000000-0010-0000-0100-000005000000}" name=" Rural - 2001" totalsRowDxfId="26"/>
    <tableColumn id="6" xr3:uid="{00000000-0010-0000-0100-000006000000}" name=" Rural - 2011" totalsRowDxfId="25"/>
    <tableColumn id="7" xr3:uid="{00000000-0010-0000-0100-000007000000}" name="Urban - 2001" totalsRowDxfId="24"/>
    <tableColumn id="8" xr3:uid="{00000000-0010-0000-0100-000008000000}" name="Urban - 2011" totalsRowDxfId="23"/>
  </tableColumns>
  <tableStyleInfo name="TableStyleMedium2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CSR" displayName="CSR" ref="A1:J37" totalsRowShown="0">
  <autoFilter ref="A1:J37" xr:uid="{00000000-0009-0000-0100-000002000000}"/>
  <tableColumns count="10">
    <tableColumn id="1" xr3:uid="{00000000-0010-0000-0200-000001000000}" name="Category"/>
    <tableColumn id="2" xr3:uid="{00000000-0010-0000-0200-000002000000}" name="Sub-category"/>
    <tableColumn id="3" xr3:uid="{00000000-0010-0000-0200-000003000000}" name="CSR Total - 2001"/>
    <tableColumn id="4" xr3:uid="{00000000-0010-0000-0200-000004000000}" name="CSR Total - 2011"/>
    <tableColumn id="5" xr3:uid="{00000000-0010-0000-0200-000005000000}" name="CSR Rural - 2001"/>
    <tableColumn id="6" xr3:uid="{00000000-0010-0000-0200-000006000000}" name="CSR Rural - 2011"/>
    <tableColumn id="7" xr3:uid="{00000000-0010-0000-0200-000007000000}" name="CSR Urban - 2001"/>
    <tableColumn id="8" xr3:uid="{00000000-0010-0000-0200-000008000000}" name="CSR Urban - 2011"/>
    <tableColumn id="9" xr3:uid="{00000000-0010-0000-0200-000009000000}" name="% CHANGE From SR-2011"/>
    <tableColumn id="10" xr3:uid="{00000000-0010-0000-0200-00000A000000}" name="% CHANGE FROM SR-2001"/>
  </tableColumns>
  <tableStyleInfo name="TableStyleMedium2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Literacy_rate" displayName="Literacy_rate" ref="A1:D37" totalsRowShown="0">
  <autoFilter ref="A1:D37" xr:uid="{00000000-0009-0000-0100-000003000000}"/>
  <tableColumns count="4">
    <tableColumn id="1" xr3:uid="{00000000-0010-0000-0300-000001000000}" name="Category"/>
    <tableColumn id="2" xr3:uid="{00000000-0010-0000-0300-000002000000}" name="Sub-category"/>
    <tableColumn id="3" xr3:uid="{00000000-0010-0000-0300-000003000000}" name="Literacy Rate-2001"/>
    <tableColumn id="4" xr3:uid="{00000000-0010-0000-0300-000004000000}" name="Literacy Rate-2011"/>
  </tableColumns>
  <tableStyleInfo name="TableStyleMedium2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1:F36" totalsRowShown="0">
  <autoFilter ref="A1:F36" xr:uid="{00000000-0009-0000-0100-000005000000}">
    <filterColumn colId="0">
      <filters>
        <filter val="A &amp; N Islands"/>
        <filter val="Andhra Pradesh"/>
        <filter val="Arunachal Pradesh"/>
        <filter val="Assam"/>
        <filter val="Bihar"/>
        <filter val="Chandigarh"/>
        <filter val="Chhattisgarh"/>
        <filter val="D &amp; N Haveli"/>
        <filter val="Daman &amp; Diu"/>
        <filter val="Goa"/>
        <filter val="Gujarat"/>
        <filter val="Haryana"/>
        <filter val="Himachal Pradesh"/>
        <filter val="Jammu &amp; Kashmir"/>
        <filter val="Jharkhand"/>
        <filter val="Karnataka"/>
        <filter val="Kerala"/>
        <filter val="Lakshadweep"/>
        <filter val="Madhya Pradesh"/>
        <filter val="Maharashtra"/>
        <filter val="Manipur"/>
        <filter val="Meghalaya"/>
        <filter val="Mizoram"/>
        <filter val="Nagaland"/>
        <filter val="NCT of Delhi"/>
        <filter val="Odisha"/>
        <filter val="Puducherry"/>
        <filter val="Punjab"/>
        <filter val="Rajasthan"/>
        <filter val="Sikkim"/>
        <filter val="Tamil Nadu"/>
        <filter val="Tripura"/>
        <filter val="Uttar Pradesh"/>
        <filter val="Uttarakhand"/>
        <filter val="West Bengal"/>
      </filters>
    </filterColumn>
  </autoFilter>
  <tableColumns count="6">
    <tableColumn id="1" xr3:uid="{00000000-0010-0000-0400-000001000000}" name="Sub-category"/>
    <tableColumn id="2" xr3:uid="{00000000-0010-0000-0400-000002000000}" name="Literacy Rate-2011"/>
    <tableColumn id="3" xr3:uid="{00000000-0010-0000-0400-000003000000}" name=" Total - 2011"/>
    <tableColumn id="4" xr3:uid="{00000000-0010-0000-0400-000004000000}" name="RANK(L.R.)"/>
    <tableColumn id="5" xr3:uid="{00000000-0010-0000-0400-000005000000}" name="RANK(S.R.)"/>
    <tableColumn id="6" xr3:uid="{00000000-0010-0000-0400-000006000000}" name="D^2" dataDxfId="22">
      <calculatedColumnFormula>(Table5[[#This Row],[RANK(L.R.)]]-Table5[[#This Row],[RANK(S.R.)]])^2</calculatedColumnFormula>
    </tableColumn>
  </tableColumns>
  <tableStyleInfo name="TableStyleMedium2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4" displayName="Table4" ref="A1:J37" totalsRowCount="1" headerRowDxfId="21" dataDxfId="20">
  <autoFilter ref="A1:J36" xr:uid="{00000000-0009-0000-0100-000004000000}"/>
  <sortState xmlns:xlrd2="http://schemas.microsoft.com/office/spreadsheetml/2017/richdata2" ref="A2:J37">
    <sortCondition descending="1" ref="H1:H37"/>
  </sortState>
  <tableColumns count="10">
    <tableColumn id="1" xr3:uid="{00000000-0010-0000-0500-000001000000}" name="Category" dataDxfId="19" totalsRowDxfId="18"/>
    <tableColumn id="2" xr3:uid="{00000000-0010-0000-0500-000002000000}" name="ZONES" dataDxfId="17" totalsRowDxfId="16"/>
    <tableColumn id="3" xr3:uid="{00000000-0010-0000-0500-000003000000}" name="Sub-category" dataDxfId="15" totalsRowDxfId="14"/>
    <tableColumn id="4" xr3:uid="{00000000-0010-0000-0500-000004000000}" name=" Total - 2001" dataDxfId="13" totalsRowDxfId="12"/>
    <tableColumn id="5" xr3:uid="{00000000-0010-0000-0500-000005000000}" name=" Total - 2011" dataDxfId="11" totalsRowDxfId="10"/>
    <tableColumn id="6" xr3:uid="{00000000-0010-0000-0500-000006000000}" name="Difference" totalsRowFunction="custom" dataDxfId="9" totalsRowDxfId="8">
      <calculatedColumnFormula>E2-D2</calculatedColumnFormula>
      <totalsRowFormula>AVERAGE(Table4[Difference])</totalsRowFormula>
    </tableColumn>
    <tableColumn id="7" xr3:uid="{00000000-0010-0000-0500-000007000000}" name="DGR -2001-11" dataDxfId="7" totalsRowDxfId="6"/>
    <tableColumn id="8" xr3:uid="{00000000-0010-0000-0500-000008000000}" name="RANK DIFF." dataDxfId="5" totalsRowDxfId="4">
      <calculatedColumnFormula>RANK(Table4[[#This Row],[Difference]],Table4[Difference])</calculatedColumnFormula>
    </tableColumn>
    <tableColumn id="9" xr3:uid="{00000000-0010-0000-0500-000009000000}" name="RANK DGR" dataDxfId="3" totalsRowDxfId="2">
      <calculatedColumnFormula>RANK(Table4[[#This Row],[DGR -2001-11]],Table4[DGR -2001-11])</calculatedColumnFormula>
    </tableColumn>
    <tableColumn id="10" xr3:uid="{00000000-0010-0000-0500-00000A000000}" name="(RANK DGR-RANK DIFF.)^2" dataDxfId="1" totalsRowDxfId="0">
      <calculatedColumnFormula>(Table4[[#This Row],[RANK DGR]]-Table4[[#This Row],[RANK DIFF.]])^2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11.xml"/><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10.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4.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printerSettings" Target="../printerSettings/printerSettings8.bin"/><Relationship Id="rId1" Type="http://schemas.openxmlformats.org/officeDocument/2006/relationships/pivotTable" Target="../pivotTables/pivot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election activeCell="C19" sqref="C19"/>
    </sheetView>
  </sheetViews>
  <sheetFormatPr defaultColWidth="8.85546875" defaultRowHeight="15"/>
  <cols>
    <col min="1" max="1" width="8.35546875" style="49" customWidth="1"/>
    <col min="2" max="16384" width="8.85546875" style="49"/>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tabSelected="1" topLeftCell="A26" workbookViewId="0">
      <selection activeCell="H41" sqref="H41"/>
    </sheetView>
  </sheetViews>
  <sheetFormatPr defaultColWidth="8.85546875" defaultRowHeight="15"/>
  <cols>
    <col min="1" max="16384" width="8.85546875" style="2"/>
  </cols>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T1070"/>
  <sheetViews>
    <sheetView topLeftCell="A53" zoomScale="61" zoomScaleNormal="65" workbookViewId="0">
      <selection activeCell="O117" sqref="O117"/>
    </sheetView>
  </sheetViews>
  <sheetFormatPr defaultColWidth="8.85546875" defaultRowHeight="15"/>
  <cols>
    <col min="1" max="12" width="8.85546875" style="1"/>
    <col min="13" max="13" width="16.140625" style="1" customWidth="1"/>
    <col min="14" max="14" width="25.140625" style="1" customWidth="1"/>
    <col min="15" max="15" width="21.92578125" style="1" customWidth="1"/>
    <col min="16" max="16" width="12" style="1" customWidth="1"/>
    <col min="17" max="17" width="12.5" style="1" customWidth="1"/>
    <col min="18" max="18" width="11.85546875" style="1" customWidth="1"/>
    <col min="19" max="19" width="11.640625" style="1" customWidth="1"/>
    <col min="20" max="20" width="12.2109375" style="1" customWidth="1"/>
    <col min="21" max="16384" width="8.85546875" style="1"/>
  </cols>
  <sheetData>
    <row r="1" spans="1:20" s="2" customFormat="1" ht="85.5" customHeight="1">
      <c r="A1" s="3" t="s">
        <v>79</v>
      </c>
    </row>
    <row r="2" spans="1:20" s="19" customFormat="1"/>
    <row r="3" spans="1:20" s="19" customFormat="1"/>
    <row r="4" spans="1:20" s="19" customFormat="1" ht="15.5" thickBot="1"/>
    <row r="5" spans="1:20" s="4" customFormat="1" ht="60" customHeight="1">
      <c r="N5" s="31" t="s">
        <v>97</v>
      </c>
      <c r="O5" s="34" t="s">
        <v>99</v>
      </c>
      <c r="P5" s="34" t="s">
        <v>99</v>
      </c>
      <c r="Q5" s="34" t="s">
        <v>100</v>
      </c>
      <c r="R5" s="34" t="s">
        <v>100</v>
      </c>
      <c r="S5" s="34" t="s">
        <v>101</v>
      </c>
      <c r="T5" s="34" t="s">
        <v>101</v>
      </c>
    </row>
    <row r="6" spans="1:20" s="4" customFormat="1" ht="30.75" customHeight="1" thickBot="1">
      <c r="N6" s="32" t="s">
        <v>98</v>
      </c>
      <c r="O6" s="35">
        <v>2001</v>
      </c>
      <c r="P6" s="35">
        <v>2011</v>
      </c>
      <c r="Q6" s="35">
        <v>2001</v>
      </c>
      <c r="R6" s="35">
        <v>2011</v>
      </c>
      <c r="S6" s="35">
        <v>2001</v>
      </c>
      <c r="T6" s="35">
        <v>2011</v>
      </c>
    </row>
    <row r="7" spans="1:20" s="4" customFormat="1" ht="30.75" customHeight="1" thickBot="1">
      <c r="N7" s="32" t="s">
        <v>94</v>
      </c>
      <c r="O7" s="36">
        <v>1058</v>
      </c>
      <c r="P7" s="36">
        <v>1084</v>
      </c>
      <c r="Q7" s="36">
        <v>1059</v>
      </c>
      <c r="R7" s="36">
        <v>1078</v>
      </c>
      <c r="S7" s="36">
        <v>1058</v>
      </c>
      <c r="T7" s="36">
        <v>1091</v>
      </c>
    </row>
    <row r="8" spans="1:20" s="4" customFormat="1" ht="30.75" customHeight="1" thickBot="1">
      <c r="N8" s="32" t="s">
        <v>95</v>
      </c>
      <c r="O8" s="36">
        <v>710</v>
      </c>
      <c r="P8" s="36">
        <v>618</v>
      </c>
      <c r="Q8" s="36">
        <v>586</v>
      </c>
      <c r="R8" s="36">
        <v>690</v>
      </c>
      <c r="S8" s="36">
        <v>691</v>
      </c>
      <c r="T8" s="36">
        <v>551</v>
      </c>
    </row>
    <row r="9" spans="1:20" s="4" customFormat="1" ht="23.25" customHeight="1">
      <c r="N9" s="31" t="s">
        <v>96</v>
      </c>
      <c r="O9" s="37">
        <v>4669</v>
      </c>
      <c r="P9" s="62">
        <v>6357.73</v>
      </c>
      <c r="Q9" s="62">
        <v>8946.81</v>
      </c>
      <c r="R9" s="62">
        <v>4425.6400000000003</v>
      </c>
      <c r="S9" s="62">
        <v>5778.75</v>
      </c>
      <c r="T9" s="37">
        <v>9228.94</v>
      </c>
    </row>
    <row r="10" spans="1:20" s="4" customFormat="1" ht="15.75" customHeight="1" thickBot="1">
      <c r="N10" s="32"/>
      <c r="O10" s="38"/>
      <c r="P10" s="63"/>
      <c r="Q10" s="63"/>
      <c r="R10" s="63"/>
      <c r="S10" s="63"/>
      <c r="T10" s="38"/>
    </row>
    <row r="11" spans="1:20" s="4" customFormat="1" ht="34.5" customHeight="1">
      <c r="N11" s="33" t="s">
        <v>102</v>
      </c>
      <c r="O11" s="37">
        <v>68.33</v>
      </c>
      <c r="P11" s="37">
        <v>79.73</v>
      </c>
      <c r="Q11" s="37">
        <v>94.58</v>
      </c>
      <c r="R11" s="37">
        <v>66.52</v>
      </c>
      <c r="S11" s="37">
        <v>76.010000000000005</v>
      </c>
      <c r="T11" s="37">
        <v>96.06</v>
      </c>
    </row>
    <row r="12" spans="1:20" s="4" customFormat="1" ht="27" customHeight="1" thickBot="1">
      <c r="N12" s="32" t="s">
        <v>103</v>
      </c>
      <c r="O12" s="38"/>
      <c r="P12" s="38"/>
      <c r="Q12" s="38"/>
      <c r="R12" s="38"/>
      <c r="S12" s="38"/>
      <c r="T12" s="38"/>
    </row>
    <row r="13" spans="1:20" s="4" customFormat="1" ht="18" customHeight="1"/>
    <row r="14" spans="1:20" s="4" customFormat="1" ht="15" customHeight="1"/>
    <row r="15" spans="1:20" s="4" customFormat="1" ht="15.75" customHeight="1"/>
    <row r="16" spans="1:20" s="4" customFormat="1"/>
    <row r="17" s="4" customFormat="1"/>
    <row r="18" s="4" customFormat="1"/>
    <row r="19" s="4" customFormat="1"/>
    <row r="20" s="4" customFormat="1"/>
    <row r="21" s="4" customFormat="1"/>
    <row r="22" s="4" customFormat="1"/>
    <row r="23" s="4" customFormat="1"/>
    <row r="24" s="4" customFormat="1"/>
    <row r="25" s="4" customFormat="1"/>
    <row r="26" s="4" customFormat="1"/>
    <row r="27" s="4" customFormat="1"/>
    <row r="28" s="4" customFormat="1"/>
    <row r="29" s="4" customFormat="1"/>
    <row r="30" s="4" customFormat="1"/>
    <row r="31" s="4" customFormat="1"/>
    <row r="32" s="4" customFormat="1"/>
    <row r="33" s="4" customFormat="1"/>
    <row r="34" s="4" customFormat="1"/>
    <row r="35" s="4" customFormat="1"/>
    <row r="36" s="4" customFormat="1"/>
    <row r="37" s="4" customFormat="1"/>
    <row r="38" s="4" customFormat="1"/>
    <row r="39" s="4" customFormat="1"/>
    <row r="40" s="4" customFormat="1"/>
    <row r="41" s="4" customFormat="1"/>
    <row r="42" s="4" customFormat="1"/>
    <row r="43" s="4" customFormat="1"/>
    <row r="44" s="4" customFormat="1"/>
    <row r="45" s="4" customFormat="1"/>
    <row r="46" s="4" customFormat="1"/>
    <row r="47" s="4" customFormat="1"/>
    <row r="48" s="4" customFormat="1"/>
    <row r="49" s="4" customFormat="1"/>
    <row r="50" s="4" customFormat="1"/>
    <row r="51" s="4" customFormat="1"/>
    <row r="52" s="4" customFormat="1"/>
    <row r="53" s="4" customFormat="1"/>
    <row r="54" s="4" customFormat="1"/>
    <row r="55" s="4" customFormat="1"/>
    <row r="56" s="4" customFormat="1"/>
    <row r="57" s="4" customFormat="1"/>
    <row r="58" s="4" customFormat="1"/>
    <row r="59" s="4" customFormat="1"/>
    <row r="60" s="4" customFormat="1"/>
    <row r="61" s="4" customFormat="1"/>
    <row r="62" s="4" customFormat="1"/>
    <row r="63" s="4" customFormat="1"/>
    <row r="64" s="4" customFormat="1"/>
    <row r="65" s="4" customFormat="1"/>
    <row r="66" s="4" customFormat="1"/>
    <row r="67" s="4" customFormat="1"/>
    <row r="68" s="4" customFormat="1"/>
    <row r="69" s="4" customFormat="1"/>
    <row r="70" s="4" customFormat="1"/>
    <row r="71" s="4" customFormat="1"/>
    <row r="72" s="4" customFormat="1"/>
    <row r="73" s="4" customFormat="1"/>
    <row r="74" s="4" customFormat="1"/>
    <row r="75" s="4" customFormat="1"/>
    <row r="76" s="4" customFormat="1"/>
    <row r="77" s="4" customFormat="1"/>
    <row r="78" s="4" customFormat="1"/>
    <row r="79" s="4" customFormat="1"/>
    <row r="80" s="4" customFormat="1"/>
    <row r="81" s="4" customFormat="1"/>
    <row r="82" s="4" customFormat="1"/>
    <row r="83" s="4" customFormat="1"/>
    <row r="84" s="4" customFormat="1"/>
    <row r="85" s="4" customFormat="1"/>
    <row r="86" s="4" customFormat="1"/>
    <row r="87" s="4" customFormat="1"/>
    <row r="88" s="4" customFormat="1"/>
    <row r="89" s="4" customFormat="1"/>
    <row r="90" s="4" customFormat="1"/>
    <row r="91" s="4" customFormat="1"/>
    <row r="92" s="4" customFormat="1"/>
    <row r="93" s="4" customFormat="1"/>
    <row r="94" s="4" customFormat="1"/>
    <row r="95" s="4" customFormat="1"/>
    <row r="96" s="4" customFormat="1"/>
    <row r="97" s="4" customFormat="1"/>
    <row r="98" s="4" customFormat="1"/>
    <row r="99" s="4" customFormat="1"/>
    <row r="100" s="4" customFormat="1"/>
    <row r="101" s="4" customFormat="1"/>
    <row r="102" s="4" customFormat="1"/>
    <row r="103" s="4" customFormat="1"/>
    <row r="104" s="4" customFormat="1"/>
    <row r="105" s="4" customFormat="1"/>
    <row r="106" s="4" customFormat="1"/>
    <row r="107" s="4" customFormat="1"/>
    <row r="108" s="4" customFormat="1"/>
    <row r="109" s="4" customFormat="1"/>
    <row r="110" s="4" customFormat="1"/>
    <row r="111" s="4" customFormat="1"/>
    <row r="112" s="4" customFormat="1"/>
    <row r="113" spans="14:15" s="4" customFormat="1"/>
    <row r="114" spans="14:15" s="4" customFormat="1"/>
    <row r="115" spans="14:15" s="4" customFormat="1"/>
    <row r="116" spans="14:15" s="4" customFormat="1"/>
    <row r="117" spans="14:15" s="4" customFormat="1" ht="22.5">
      <c r="N117" s="39" t="s">
        <v>109</v>
      </c>
      <c r="O117" s="39">
        <f>SUM(Table5[D^2])</f>
        <v>6732</v>
      </c>
    </row>
    <row r="118" spans="14:15" s="4" customFormat="1" ht="22.5">
      <c r="N118" s="39" t="s">
        <v>124</v>
      </c>
      <c r="O118" s="39">
        <f>6*6732</f>
        <v>40392</v>
      </c>
    </row>
    <row r="119" spans="14:15" s="4" customFormat="1" ht="22.5">
      <c r="N119" s="39" t="s">
        <v>116</v>
      </c>
      <c r="O119" s="39">
        <v>42840</v>
      </c>
    </row>
    <row r="120" spans="14:15" s="4" customFormat="1" ht="22.5">
      <c r="N120" s="39" t="s">
        <v>122</v>
      </c>
      <c r="O120" s="40">
        <f>40392/42840</f>
        <v>0.94285714285714284</v>
      </c>
    </row>
    <row r="121" spans="14:15" s="4" customFormat="1" ht="22.5">
      <c r="N121" s="39" t="s">
        <v>113</v>
      </c>
      <c r="O121" s="39">
        <f>1-0.94285</f>
        <v>5.7150000000000034E-2</v>
      </c>
    </row>
    <row r="122" spans="14:15" s="4" customFormat="1" ht="22.5">
      <c r="N122" s="39"/>
      <c r="O122" s="39" t="s">
        <v>112</v>
      </c>
    </row>
    <row r="123" spans="14:15" s="4" customFormat="1"/>
    <row r="124" spans="14:15" s="4" customFormat="1" ht="17.5">
      <c r="N124" s="41" t="s">
        <v>92</v>
      </c>
      <c r="O124" s="42" t="s">
        <v>93</v>
      </c>
    </row>
    <row r="125" spans="14:15" s="4" customFormat="1" ht="22.5">
      <c r="N125" s="43" t="s">
        <v>69</v>
      </c>
      <c r="O125" s="44" t="s">
        <v>70</v>
      </c>
    </row>
    <row r="126" spans="14:15" s="4" customFormat="1" ht="22.5">
      <c r="N126" s="43" t="s">
        <v>71</v>
      </c>
      <c r="O126" s="44" t="s">
        <v>72</v>
      </c>
    </row>
    <row r="127" spans="14:15" s="4" customFormat="1" ht="22.5">
      <c r="N127" s="43" t="s">
        <v>73</v>
      </c>
      <c r="O127" s="44" t="s">
        <v>74</v>
      </c>
    </row>
    <row r="128" spans="14:15" s="4" customFormat="1" ht="22.5">
      <c r="N128" s="43" t="s">
        <v>75</v>
      </c>
      <c r="O128" s="44" t="s">
        <v>76</v>
      </c>
    </row>
    <row r="129" spans="14:15" s="4" customFormat="1" ht="22.5">
      <c r="N129" s="43" t="s">
        <v>77</v>
      </c>
      <c r="O129" s="44" t="s">
        <v>78</v>
      </c>
    </row>
    <row r="130" spans="14:15" s="4" customFormat="1" ht="22.5">
      <c r="N130" s="45"/>
      <c r="O130" s="46"/>
    </row>
    <row r="131" spans="14:15" s="4" customFormat="1" ht="22.5">
      <c r="N131" s="47"/>
      <c r="O131" s="48"/>
    </row>
    <row r="132" spans="14:15" s="4" customFormat="1"/>
    <row r="133" spans="14:15" s="4" customFormat="1"/>
    <row r="134" spans="14:15" s="4" customFormat="1"/>
    <row r="135" spans="14:15" s="4" customFormat="1"/>
    <row r="136" spans="14:15" s="4" customFormat="1"/>
    <row r="137" spans="14:15" s="4" customFormat="1"/>
    <row r="138" spans="14:15" s="4" customFormat="1"/>
    <row r="139" spans="14:15" s="4" customFormat="1"/>
    <row r="140" spans="14:15" s="4" customFormat="1"/>
    <row r="141" spans="14:15" s="4" customFormat="1" ht="8.25" customHeight="1"/>
    <row r="142" spans="14:15" s="4" customFormat="1"/>
    <row r="143" spans="14:15" s="4" customFormat="1" ht="22.5">
      <c r="N143" s="39"/>
      <c r="O143" s="39" t="s">
        <v>117</v>
      </c>
    </row>
    <row r="144" spans="14:15" s="4" customFormat="1" ht="22.5">
      <c r="N144" s="39" t="s">
        <v>109</v>
      </c>
      <c r="O144" s="39">
        <v>8632</v>
      </c>
    </row>
    <row r="145" spans="14:15" s="4" customFormat="1" ht="22.5">
      <c r="N145" s="39" t="s">
        <v>123</v>
      </c>
      <c r="O145" s="39">
        <v>51792</v>
      </c>
    </row>
    <row r="146" spans="14:15" s="4" customFormat="1" ht="22.5">
      <c r="N146" s="39" t="s">
        <v>110</v>
      </c>
      <c r="O146" s="39">
        <v>42840</v>
      </c>
    </row>
    <row r="147" spans="14:15" s="4" customFormat="1" ht="36.75" customHeight="1">
      <c r="N147" s="39" t="s">
        <v>122</v>
      </c>
      <c r="O147" s="39">
        <v>1.2089635854341736</v>
      </c>
    </row>
    <row r="148" spans="14:15" s="4" customFormat="1" ht="22.5">
      <c r="N148" s="39" t="s">
        <v>113</v>
      </c>
      <c r="O148" s="39">
        <v>-0.20890000000000009</v>
      </c>
    </row>
    <row r="149" spans="14:15" s="4" customFormat="1" ht="22.5">
      <c r="N149" s="39"/>
      <c r="O149" s="39" t="s">
        <v>111</v>
      </c>
    </row>
    <row r="150" spans="14:15" s="4" customFormat="1"/>
    <row r="151" spans="14:15" s="4" customFormat="1"/>
    <row r="152" spans="14:15" s="4" customFormat="1"/>
    <row r="153" spans="14:15" s="4" customFormat="1"/>
    <row r="154" spans="14:15" s="4" customFormat="1"/>
    <row r="155" spans="14:15" s="4" customFormat="1"/>
    <row r="156" spans="14:15" s="4" customFormat="1" ht="30.75" customHeight="1"/>
    <row r="157" spans="14:15" s="4" customFormat="1"/>
    <row r="158" spans="14:15" s="4" customFormat="1"/>
    <row r="159" spans="14:15" s="4" customFormat="1"/>
    <row r="160" spans="14:15" s="4" customFormat="1"/>
    <row r="161" s="4" customFormat="1"/>
    <row r="162" s="4" customFormat="1"/>
    <row r="163" s="4" customFormat="1"/>
    <row r="164" s="4" customFormat="1"/>
    <row r="165" s="9" customFormat="1"/>
    <row r="166" s="9" customFormat="1"/>
    <row r="167" s="9" customFormat="1"/>
    <row r="168" s="9" customFormat="1"/>
    <row r="169" s="9" customFormat="1"/>
    <row r="170" s="9" customFormat="1"/>
    <row r="171" s="9" customFormat="1"/>
    <row r="172" s="9" customFormat="1"/>
    <row r="173" s="9" customFormat="1"/>
    <row r="174" s="9" customFormat="1"/>
    <row r="175" s="9" customFormat="1"/>
    <row r="176" s="9" customFormat="1"/>
    <row r="177" s="9" customFormat="1"/>
    <row r="178" s="9" customFormat="1"/>
    <row r="179" s="9" customFormat="1"/>
    <row r="180" s="9" customFormat="1"/>
    <row r="181" s="9" customFormat="1"/>
    <row r="182" s="9" customFormat="1"/>
    <row r="183" s="9" customFormat="1"/>
    <row r="184" s="9" customFormat="1"/>
    <row r="185" s="9" customFormat="1"/>
    <row r="186" s="9" customFormat="1"/>
    <row r="187" s="9" customFormat="1"/>
    <row r="188" s="9" customFormat="1"/>
    <row r="189" s="9" customFormat="1"/>
    <row r="190" s="9" customFormat="1"/>
    <row r="191" s="9" customFormat="1"/>
    <row r="192" s="9" customFormat="1"/>
    <row r="193" s="9" customFormat="1"/>
    <row r="194" s="9" customFormat="1"/>
    <row r="195" s="9" customFormat="1"/>
    <row r="196" s="9" customFormat="1"/>
    <row r="197" s="9" customFormat="1"/>
    <row r="198" s="9" customFormat="1"/>
    <row r="199" s="9" customFormat="1"/>
    <row r="200" s="9" customFormat="1"/>
    <row r="201" s="9" customFormat="1"/>
    <row r="202" s="9" customFormat="1"/>
    <row r="203" s="9" customFormat="1"/>
    <row r="204" s="9" customFormat="1"/>
    <row r="205" s="9" customFormat="1"/>
    <row r="206" s="9" customFormat="1"/>
    <row r="207" s="9" customFormat="1"/>
    <row r="208" s="9" customFormat="1"/>
    <row r="209" s="9" customFormat="1"/>
    <row r="210" s="9" customFormat="1"/>
    <row r="211" s="9" customFormat="1"/>
    <row r="212" s="9" customFormat="1"/>
    <row r="213" s="9" customFormat="1"/>
    <row r="214" s="9" customFormat="1"/>
    <row r="215" s="9" customFormat="1"/>
    <row r="216" s="9" customFormat="1"/>
    <row r="217" s="9" customFormat="1"/>
    <row r="218" s="9" customFormat="1"/>
    <row r="219" s="9" customFormat="1"/>
    <row r="220" s="9" customFormat="1"/>
    <row r="221" s="9" customFormat="1"/>
    <row r="222" s="9" customFormat="1"/>
    <row r="223" s="9" customFormat="1"/>
    <row r="224" s="9" customFormat="1"/>
    <row r="225" s="9" customFormat="1"/>
    <row r="226" s="9" customFormat="1"/>
    <row r="227" s="9" customFormat="1"/>
    <row r="228" s="9" customFormat="1"/>
    <row r="229" s="9" customFormat="1"/>
    <row r="230" s="9" customFormat="1"/>
    <row r="231" s="9" customFormat="1"/>
    <row r="232" s="9" customFormat="1"/>
    <row r="233" s="9" customFormat="1"/>
    <row r="234" s="9" customFormat="1"/>
    <row r="235" s="9" customFormat="1"/>
    <row r="236" s="9" customFormat="1"/>
    <row r="237" s="9" customFormat="1"/>
    <row r="238" s="9" customFormat="1"/>
    <row r="239" s="9" customFormat="1"/>
    <row r="240" s="9" customFormat="1"/>
    <row r="241" s="9" customFormat="1"/>
    <row r="242" s="9" customFormat="1"/>
    <row r="243" s="9" customFormat="1"/>
    <row r="244" s="9" customFormat="1"/>
    <row r="245" s="9" customFormat="1"/>
    <row r="246" s="9" customFormat="1"/>
    <row r="247" s="9" customFormat="1"/>
    <row r="248" s="9" customFormat="1"/>
    <row r="249" s="9" customFormat="1"/>
    <row r="250" s="9" customFormat="1"/>
    <row r="251" s="9" customFormat="1"/>
    <row r="252" s="9" customFormat="1"/>
    <row r="253" s="9" customFormat="1"/>
    <row r="254" s="9" customFormat="1"/>
    <row r="255" s="9" customFormat="1"/>
    <row r="256" s="9" customFormat="1"/>
    <row r="257" s="9" customFormat="1"/>
    <row r="258" s="9" customFormat="1"/>
    <row r="259" s="9" customFormat="1"/>
    <row r="260" s="9" customFormat="1"/>
    <row r="261" s="9" customFormat="1"/>
    <row r="262" s="9" customFormat="1"/>
    <row r="263" s="9" customFormat="1"/>
    <row r="264" s="9" customFormat="1"/>
    <row r="265" s="9" customFormat="1"/>
    <row r="266" s="9" customFormat="1"/>
    <row r="267" s="9" customFormat="1"/>
    <row r="268" s="9" customFormat="1"/>
    <row r="269" s="9" customFormat="1"/>
    <row r="270" s="9" customFormat="1"/>
    <row r="271" s="9" customFormat="1"/>
    <row r="272" s="9" customFormat="1"/>
    <row r="273" s="9" customFormat="1"/>
    <row r="274" s="9" customFormat="1"/>
    <row r="275" s="9" customFormat="1"/>
    <row r="276" s="9" customFormat="1"/>
    <row r="277" s="9" customFormat="1"/>
    <row r="278" s="9" customFormat="1"/>
    <row r="279" s="9" customFormat="1"/>
    <row r="280" s="9" customFormat="1"/>
    <row r="281" s="9" customFormat="1"/>
    <row r="282" s="9" customFormat="1"/>
    <row r="283" s="9" customFormat="1"/>
    <row r="284" s="9" customFormat="1"/>
    <row r="285" s="9" customFormat="1"/>
    <row r="286" s="9" customFormat="1"/>
    <row r="287" s="9" customFormat="1"/>
    <row r="288" s="9" customFormat="1"/>
    <row r="289" s="9" customFormat="1"/>
    <row r="290" s="9" customFormat="1"/>
    <row r="291" s="9" customFormat="1"/>
    <row r="292" s="9" customFormat="1"/>
    <row r="293" s="9" customFormat="1"/>
    <row r="294" s="9" customFormat="1"/>
    <row r="295" s="9" customFormat="1"/>
    <row r="296" s="9" customFormat="1"/>
    <row r="297" s="9" customFormat="1"/>
    <row r="298" s="9" customFormat="1"/>
    <row r="299" s="9" customFormat="1"/>
    <row r="300" s="9" customFormat="1"/>
    <row r="301" s="9" customFormat="1"/>
    <row r="302" s="9" customFormat="1"/>
    <row r="303" s="9" customFormat="1"/>
    <row r="304" s="9" customFormat="1"/>
    <row r="305" s="9" customFormat="1"/>
    <row r="306" s="9" customFormat="1"/>
    <row r="307" s="9" customFormat="1"/>
    <row r="308" s="9" customFormat="1"/>
    <row r="309" s="9" customFormat="1"/>
    <row r="310" s="9" customFormat="1"/>
    <row r="311" s="9" customFormat="1"/>
    <row r="312" s="9" customFormat="1"/>
    <row r="313" s="9" customFormat="1"/>
    <row r="314" s="9" customFormat="1"/>
    <row r="315" s="9" customFormat="1"/>
    <row r="316" s="9" customFormat="1"/>
    <row r="317" s="9" customFormat="1"/>
    <row r="318" s="9" customFormat="1"/>
    <row r="319" s="9" customFormat="1"/>
    <row r="320" s="9" customFormat="1"/>
    <row r="321" s="9" customFormat="1"/>
    <row r="322" s="9" customFormat="1"/>
    <row r="323" s="9" customFormat="1"/>
    <row r="324" s="9" customFormat="1"/>
    <row r="325" s="9" customFormat="1"/>
    <row r="326" s="9" customFormat="1"/>
    <row r="327" s="9" customFormat="1"/>
    <row r="328" s="9" customFormat="1"/>
    <row r="329" s="9" customFormat="1"/>
    <row r="330" s="9" customFormat="1"/>
    <row r="331" s="9" customFormat="1"/>
    <row r="332" s="9" customFormat="1"/>
    <row r="333" s="9" customFormat="1"/>
    <row r="334" s="9" customFormat="1"/>
    <row r="335" s="9" customFormat="1"/>
    <row r="336" s="9" customFormat="1"/>
    <row r="337" s="9" customFormat="1"/>
    <row r="338" s="9" customFormat="1"/>
    <row r="339" s="9" customFormat="1"/>
    <row r="340" s="9" customFormat="1"/>
    <row r="341" s="9" customFormat="1"/>
    <row r="342" s="9" customFormat="1"/>
    <row r="343" s="9" customFormat="1"/>
    <row r="344" s="9" customFormat="1"/>
    <row r="345" s="9" customFormat="1"/>
    <row r="346" s="9" customFormat="1"/>
    <row r="347" s="9" customFormat="1"/>
    <row r="348" s="9" customFormat="1"/>
    <row r="349" s="9" customFormat="1"/>
    <row r="350" s="9" customFormat="1"/>
    <row r="351" s="9" customFormat="1"/>
    <row r="352" s="9" customFormat="1"/>
    <row r="353" s="9" customFormat="1"/>
    <row r="354" s="9" customFormat="1"/>
    <row r="355" s="9" customFormat="1"/>
    <row r="356" s="9" customFormat="1"/>
    <row r="357" s="9" customFormat="1"/>
    <row r="358" s="9" customFormat="1"/>
    <row r="359" s="9" customFormat="1"/>
    <row r="360" s="9" customFormat="1"/>
    <row r="361" s="9" customFormat="1"/>
    <row r="362" s="9" customFormat="1"/>
    <row r="363" s="9" customFormat="1"/>
    <row r="364" s="9" customFormat="1"/>
    <row r="365" s="9" customFormat="1"/>
    <row r="366" s="9" customFormat="1"/>
    <row r="367" s="9" customFormat="1"/>
    <row r="368" s="9" customFormat="1"/>
    <row r="369" s="9" customFormat="1"/>
    <row r="370" s="9" customFormat="1"/>
    <row r="371" s="9" customFormat="1"/>
    <row r="372" s="9" customFormat="1"/>
    <row r="373" s="9" customFormat="1"/>
    <row r="374" s="9" customFormat="1"/>
    <row r="375" s="9" customFormat="1"/>
    <row r="376" s="9" customFormat="1"/>
    <row r="377" s="9" customFormat="1"/>
    <row r="378" s="9" customFormat="1"/>
    <row r="379" s="9" customFormat="1"/>
    <row r="380" s="9" customFormat="1"/>
    <row r="381" s="9" customFormat="1"/>
    <row r="382" s="9" customFormat="1"/>
    <row r="383" s="9" customFormat="1"/>
    <row r="384" s="9" customFormat="1"/>
    <row r="385" s="9" customFormat="1"/>
    <row r="386" s="9" customFormat="1"/>
    <row r="387" s="9" customFormat="1"/>
    <row r="388" s="9" customFormat="1"/>
    <row r="389" s="9" customFormat="1"/>
    <row r="390" s="9" customFormat="1"/>
    <row r="391" s="9" customFormat="1"/>
    <row r="392" s="9" customFormat="1"/>
    <row r="393" s="9" customFormat="1"/>
    <row r="394" s="9" customFormat="1"/>
    <row r="395" s="9" customFormat="1"/>
    <row r="396" s="9" customFormat="1"/>
    <row r="397" s="9" customFormat="1"/>
    <row r="398" s="9" customFormat="1"/>
    <row r="399" s="9" customFormat="1"/>
    <row r="400" s="9" customFormat="1"/>
    <row r="401" s="9" customFormat="1"/>
    <row r="402" s="9" customFormat="1"/>
    <row r="403" s="9" customFormat="1"/>
    <row r="404" s="9" customFormat="1"/>
    <row r="405" s="9" customFormat="1"/>
    <row r="406" s="9" customFormat="1"/>
    <row r="407" s="9" customFormat="1"/>
    <row r="408" s="9" customFormat="1"/>
    <row r="409" s="9" customFormat="1"/>
    <row r="410" s="9" customFormat="1"/>
    <row r="411" s="9" customFormat="1"/>
    <row r="412" s="9" customFormat="1"/>
    <row r="413" s="9" customFormat="1"/>
    <row r="414" s="9" customFormat="1"/>
    <row r="415" s="9" customFormat="1"/>
    <row r="416" s="9" customFormat="1"/>
    <row r="417" s="9" customFormat="1"/>
    <row r="418" s="9" customFormat="1"/>
    <row r="419" s="9" customFormat="1"/>
    <row r="420" s="9" customFormat="1"/>
    <row r="421" s="9" customFormat="1"/>
    <row r="422" s="9" customFormat="1"/>
    <row r="423" s="9" customFormat="1"/>
    <row r="424" s="9" customFormat="1"/>
    <row r="425" s="9" customFormat="1"/>
    <row r="426" s="9" customFormat="1"/>
    <row r="427" s="9" customFormat="1"/>
    <row r="428" s="9" customFormat="1"/>
    <row r="429" s="9" customFormat="1"/>
    <row r="430" s="9" customFormat="1"/>
    <row r="431" s="9" customFormat="1"/>
    <row r="432" s="9" customFormat="1"/>
    <row r="433" s="9" customFormat="1"/>
    <row r="434" s="9" customFormat="1"/>
    <row r="435" s="9" customFormat="1"/>
    <row r="436" s="9" customFormat="1"/>
    <row r="437" s="9" customFormat="1"/>
    <row r="438" s="9" customFormat="1"/>
    <row r="439" s="9" customFormat="1"/>
    <row r="440" s="9" customFormat="1"/>
    <row r="441" s="9" customFormat="1"/>
    <row r="442" s="9" customFormat="1"/>
    <row r="443" s="9" customFormat="1"/>
    <row r="444" s="9" customFormat="1"/>
    <row r="445" s="9" customFormat="1"/>
    <row r="446" s="9" customFormat="1"/>
    <row r="447" s="9" customFormat="1"/>
    <row r="448" s="9" customFormat="1"/>
    <row r="449" s="9" customFormat="1"/>
    <row r="450" s="9" customFormat="1"/>
    <row r="451" s="9" customFormat="1"/>
    <row r="452" s="9" customFormat="1"/>
    <row r="453" s="9" customFormat="1"/>
    <row r="454" s="9" customFormat="1"/>
    <row r="455" s="9" customFormat="1"/>
    <row r="456" s="9" customFormat="1"/>
    <row r="457" s="9" customFormat="1"/>
    <row r="458" s="9" customFormat="1"/>
    <row r="459" s="9" customFormat="1"/>
    <row r="460" s="9" customFormat="1"/>
    <row r="461" s="9" customFormat="1"/>
    <row r="462" s="9" customFormat="1"/>
    <row r="463" s="9" customFormat="1"/>
    <row r="464" s="9" customFormat="1"/>
    <row r="465" s="9" customFormat="1"/>
    <row r="466" s="9" customFormat="1"/>
    <row r="467" s="9" customFormat="1"/>
    <row r="468" s="9" customFormat="1"/>
    <row r="469" s="9" customFormat="1"/>
    <row r="470" s="9" customFormat="1"/>
    <row r="471" s="9" customFormat="1"/>
    <row r="472" s="9" customFormat="1"/>
    <row r="473" s="9" customFormat="1"/>
    <row r="474" s="9" customFormat="1"/>
    <row r="475" s="9" customFormat="1"/>
    <row r="476" s="9" customFormat="1"/>
    <row r="477" s="9" customFormat="1"/>
    <row r="478" s="9" customFormat="1"/>
    <row r="479" s="9" customFormat="1"/>
    <row r="480" s="9" customFormat="1"/>
    <row r="481" s="9" customFormat="1"/>
    <row r="482" s="9" customFormat="1"/>
    <row r="483" s="9" customFormat="1"/>
    <row r="484" s="9" customFormat="1"/>
    <row r="485" s="9" customFormat="1"/>
    <row r="486" s="9" customFormat="1"/>
    <row r="487" s="9" customFormat="1"/>
    <row r="488" s="9" customFormat="1"/>
    <row r="489" s="9" customFormat="1"/>
    <row r="490" s="9" customFormat="1"/>
    <row r="491" s="9" customFormat="1"/>
    <row r="492" s="9" customFormat="1"/>
    <row r="493" s="9" customFormat="1"/>
    <row r="494" s="9" customFormat="1"/>
    <row r="495" s="9" customFormat="1"/>
    <row r="496" s="9" customFormat="1"/>
    <row r="497" s="9" customFormat="1"/>
    <row r="498" s="9" customFormat="1"/>
    <row r="499" s="9" customFormat="1"/>
    <row r="500" s="9" customFormat="1"/>
    <row r="501" s="9" customFormat="1"/>
    <row r="502" s="9" customFormat="1"/>
    <row r="503" s="9" customFormat="1"/>
    <row r="504" s="9" customFormat="1"/>
    <row r="505" s="9" customFormat="1"/>
    <row r="506" s="9" customFormat="1"/>
    <row r="507" s="9" customFormat="1"/>
    <row r="508" s="9" customFormat="1"/>
    <row r="509" s="9" customFormat="1"/>
    <row r="510" s="9" customFormat="1"/>
    <row r="511" s="9" customFormat="1"/>
    <row r="512" s="9" customFormat="1"/>
    <row r="513" s="9" customFormat="1"/>
    <row r="514" s="9" customFormat="1"/>
    <row r="515" s="9" customFormat="1"/>
    <row r="516" s="9" customFormat="1"/>
    <row r="517" s="9" customFormat="1"/>
    <row r="518" s="9" customFormat="1"/>
    <row r="519" s="9" customFormat="1"/>
    <row r="520" s="9" customFormat="1"/>
    <row r="521" s="9" customFormat="1"/>
    <row r="522" s="9" customFormat="1"/>
    <row r="523" s="9" customFormat="1"/>
    <row r="524" s="9" customFormat="1"/>
    <row r="525" s="9" customFormat="1"/>
    <row r="526" s="9" customFormat="1"/>
    <row r="527" s="9" customFormat="1"/>
    <row r="528" s="9" customFormat="1"/>
    <row r="529" s="9" customFormat="1"/>
    <row r="530" s="9" customFormat="1"/>
    <row r="531" s="9" customFormat="1"/>
    <row r="532" s="9" customFormat="1"/>
    <row r="533" s="9" customFormat="1"/>
    <row r="534" s="9" customFormat="1"/>
    <row r="535" s="9" customFormat="1"/>
    <row r="536" s="9" customFormat="1"/>
    <row r="537" s="9" customFormat="1"/>
    <row r="538" s="9" customFormat="1"/>
    <row r="539" s="9" customFormat="1"/>
    <row r="540" s="9" customFormat="1"/>
    <row r="541" s="9" customFormat="1"/>
    <row r="542" s="9" customFormat="1"/>
    <row r="543" s="9" customFormat="1"/>
    <row r="544" s="9" customFormat="1"/>
    <row r="545" s="9" customFormat="1"/>
    <row r="546" s="9" customFormat="1"/>
    <row r="547" s="9" customFormat="1"/>
    <row r="548" s="9" customFormat="1"/>
    <row r="549" s="9" customFormat="1"/>
    <row r="550" s="9" customFormat="1"/>
    <row r="551" s="9" customFormat="1"/>
    <row r="552" s="9" customFormat="1"/>
    <row r="553" s="9" customFormat="1"/>
    <row r="554" s="9" customFormat="1"/>
    <row r="555" s="9" customFormat="1"/>
    <row r="556" s="9" customFormat="1"/>
    <row r="557" s="9" customFormat="1"/>
    <row r="558" s="9" customFormat="1"/>
    <row r="559" s="9" customFormat="1"/>
    <row r="560" s="9" customFormat="1"/>
    <row r="561" s="9" customFormat="1"/>
    <row r="562" s="9" customFormat="1"/>
    <row r="563" s="9" customFormat="1"/>
    <row r="564" s="9" customFormat="1"/>
    <row r="565" s="9" customFormat="1"/>
    <row r="566" s="9" customFormat="1"/>
    <row r="567" s="9" customFormat="1"/>
    <row r="568" s="9" customFormat="1"/>
    <row r="569" s="9" customFormat="1"/>
    <row r="570" s="9" customFormat="1"/>
    <row r="571" s="9" customFormat="1"/>
    <row r="572" s="9" customFormat="1"/>
    <row r="573" s="9" customFormat="1"/>
    <row r="574" s="9" customFormat="1"/>
    <row r="575" s="9" customFormat="1"/>
    <row r="576" s="9" customFormat="1"/>
    <row r="577" s="9" customFormat="1"/>
    <row r="578" s="9" customFormat="1"/>
    <row r="579" s="9" customFormat="1"/>
    <row r="580" s="9" customFormat="1"/>
    <row r="581" s="9" customFormat="1"/>
    <row r="582" s="9" customFormat="1"/>
    <row r="583" s="9" customFormat="1"/>
    <row r="584" s="9" customFormat="1"/>
    <row r="585" s="9" customFormat="1"/>
    <row r="586" s="9" customFormat="1"/>
    <row r="587" s="9" customFormat="1"/>
    <row r="588" s="9" customFormat="1"/>
    <row r="589" s="9" customFormat="1"/>
    <row r="590" s="9" customFormat="1"/>
    <row r="591" s="9" customFormat="1"/>
    <row r="592" s="9" customFormat="1"/>
    <row r="593" s="9" customFormat="1"/>
    <row r="594" s="9" customFormat="1"/>
    <row r="595" s="9" customFormat="1"/>
    <row r="596" s="9" customFormat="1"/>
    <row r="597" s="9" customFormat="1"/>
    <row r="598" s="9" customFormat="1"/>
    <row r="599" s="9" customFormat="1"/>
    <row r="600" s="9" customFormat="1"/>
    <row r="601" s="9" customFormat="1"/>
    <row r="602" s="9" customFormat="1"/>
    <row r="603" s="9" customFormat="1"/>
    <row r="604" s="9" customFormat="1"/>
    <row r="605" s="9" customFormat="1"/>
    <row r="606" s="9" customFormat="1"/>
    <row r="607" s="9" customFormat="1"/>
    <row r="608" s="9" customFormat="1"/>
    <row r="609" s="9" customFormat="1"/>
    <row r="610" s="9" customFormat="1"/>
    <row r="611" s="9" customFormat="1"/>
    <row r="612" s="9" customFormat="1"/>
    <row r="613" s="9" customFormat="1"/>
    <row r="614" s="9" customFormat="1"/>
    <row r="615" s="9" customFormat="1"/>
    <row r="616" s="9" customFormat="1"/>
    <row r="617" s="9" customFormat="1"/>
    <row r="618" s="9" customFormat="1"/>
    <row r="619" s="9" customFormat="1"/>
    <row r="620" s="9" customFormat="1"/>
    <row r="621" s="9" customFormat="1"/>
    <row r="622" s="9" customFormat="1"/>
    <row r="623" s="9" customFormat="1"/>
    <row r="624" s="9" customFormat="1"/>
    <row r="625" s="9" customFormat="1"/>
    <row r="626" s="9" customFormat="1"/>
    <row r="627" s="9" customFormat="1"/>
    <row r="628" s="9" customFormat="1"/>
    <row r="629" s="9" customFormat="1"/>
    <row r="630" s="9" customFormat="1"/>
    <row r="631" s="9" customFormat="1"/>
    <row r="632" s="9" customFormat="1"/>
    <row r="633" s="9" customFormat="1"/>
    <row r="634" s="9" customFormat="1"/>
    <row r="635" s="9" customFormat="1"/>
    <row r="636" s="9" customFormat="1"/>
    <row r="637" s="9" customFormat="1"/>
    <row r="638" s="9" customFormat="1"/>
    <row r="639" s="9" customFormat="1"/>
    <row r="640" s="9" customFormat="1"/>
    <row r="641" s="9" customFormat="1"/>
    <row r="642" s="9" customFormat="1"/>
    <row r="643" s="9" customFormat="1"/>
    <row r="644" s="9" customFormat="1"/>
    <row r="645" s="9" customFormat="1"/>
    <row r="646" s="9" customFormat="1"/>
    <row r="647" s="9" customFormat="1"/>
    <row r="648" s="9" customFormat="1"/>
    <row r="649" s="9" customFormat="1"/>
    <row r="650" s="9" customFormat="1"/>
    <row r="651" s="9" customFormat="1"/>
    <row r="652" s="9" customFormat="1"/>
    <row r="653" s="9" customFormat="1"/>
    <row r="654" s="9" customFormat="1"/>
    <row r="655" s="9" customFormat="1"/>
    <row r="656" s="9" customFormat="1"/>
    <row r="657" s="9" customFormat="1"/>
    <row r="658" s="9" customFormat="1"/>
    <row r="659" s="9" customFormat="1"/>
    <row r="660" s="9" customFormat="1"/>
    <row r="661" s="9" customFormat="1"/>
    <row r="662" s="9" customFormat="1"/>
    <row r="663" s="9" customFormat="1"/>
    <row r="664" s="9" customFormat="1"/>
    <row r="665" s="9" customFormat="1"/>
    <row r="666" s="9" customFormat="1"/>
    <row r="667" s="9" customFormat="1"/>
    <row r="668" s="9" customFormat="1"/>
    <row r="669" s="9" customFormat="1"/>
    <row r="670" s="9" customFormat="1"/>
    <row r="671" s="9" customFormat="1"/>
    <row r="672" s="9" customFormat="1"/>
    <row r="673" s="9" customFormat="1"/>
    <row r="674" s="9" customFormat="1"/>
    <row r="675" s="9" customFormat="1"/>
    <row r="676" s="9" customFormat="1"/>
    <row r="677" s="9" customFormat="1"/>
    <row r="678" s="9" customFormat="1"/>
    <row r="679" s="9" customFormat="1"/>
    <row r="680" s="9" customFormat="1"/>
    <row r="681" s="9" customFormat="1"/>
    <row r="682" s="9" customFormat="1"/>
    <row r="683" s="9" customFormat="1"/>
    <row r="684" s="9" customFormat="1"/>
    <row r="685" s="9" customFormat="1"/>
    <row r="686" s="9" customFormat="1"/>
    <row r="687" s="9" customFormat="1"/>
    <row r="688" s="9" customFormat="1"/>
    <row r="689" s="9" customFormat="1"/>
    <row r="690" s="9" customFormat="1"/>
    <row r="691" s="9" customFormat="1"/>
    <row r="692" s="9" customFormat="1"/>
    <row r="693" s="9" customFormat="1"/>
    <row r="694" s="9" customFormat="1"/>
    <row r="695" s="9" customFormat="1"/>
    <row r="696" s="9" customFormat="1"/>
    <row r="697" s="9" customFormat="1"/>
    <row r="698" s="9" customFormat="1"/>
    <row r="699" s="9" customFormat="1"/>
    <row r="700" s="9" customFormat="1"/>
    <row r="701" s="9" customFormat="1"/>
    <row r="702" s="9" customFormat="1"/>
    <row r="703" s="9" customFormat="1"/>
    <row r="704" s="9" customFormat="1"/>
    <row r="705" s="9" customFormat="1"/>
    <row r="706" s="9" customFormat="1"/>
    <row r="707" s="9" customFormat="1"/>
    <row r="708" s="9" customFormat="1"/>
    <row r="709" s="9" customFormat="1"/>
    <row r="710" s="9" customFormat="1"/>
    <row r="711" s="9" customFormat="1"/>
    <row r="712" s="9" customFormat="1"/>
    <row r="713" s="9" customFormat="1"/>
    <row r="714" s="9" customFormat="1"/>
    <row r="715" s="9" customFormat="1"/>
    <row r="716" s="9" customFormat="1"/>
    <row r="717" s="9" customFormat="1"/>
    <row r="718" s="9" customFormat="1"/>
    <row r="719" s="9" customFormat="1"/>
    <row r="720" s="9" customFormat="1"/>
    <row r="721" s="9" customFormat="1"/>
    <row r="722" s="9" customFormat="1"/>
    <row r="723" s="9" customFormat="1"/>
    <row r="724" s="9" customFormat="1"/>
    <row r="725" s="9" customFormat="1"/>
    <row r="726" s="9" customFormat="1"/>
    <row r="727" s="9" customFormat="1"/>
    <row r="728" s="9" customFormat="1"/>
    <row r="729" s="9" customFormat="1"/>
    <row r="730" s="9" customFormat="1"/>
    <row r="731" s="9" customFormat="1"/>
    <row r="732" s="9" customFormat="1"/>
    <row r="733" s="9" customFormat="1"/>
    <row r="734" s="9" customFormat="1"/>
    <row r="735" s="9" customFormat="1"/>
    <row r="736" s="9" customFormat="1"/>
    <row r="737" s="9" customFormat="1"/>
    <row r="738" s="9" customFormat="1"/>
    <row r="739" s="9" customFormat="1"/>
    <row r="740" s="9" customFormat="1"/>
    <row r="741" s="9" customFormat="1"/>
    <row r="742" s="9" customFormat="1"/>
    <row r="743" s="9" customFormat="1"/>
    <row r="744" s="9" customFormat="1"/>
    <row r="745" s="9" customFormat="1"/>
    <row r="746" s="9" customFormat="1"/>
    <row r="747" s="9" customFormat="1"/>
    <row r="748" s="9" customFormat="1"/>
    <row r="749" s="9" customFormat="1"/>
    <row r="750" s="9" customFormat="1"/>
    <row r="751" s="9" customFormat="1"/>
    <row r="752" s="9" customFormat="1"/>
    <row r="753" s="9" customFormat="1"/>
    <row r="754" s="9" customFormat="1"/>
    <row r="755" s="9" customFormat="1"/>
    <row r="756" s="9" customFormat="1"/>
    <row r="757" s="9" customFormat="1"/>
    <row r="758" s="9" customFormat="1"/>
    <row r="759" s="9" customFormat="1"/>
    <row r="760" s="9" customFormat="1"/>
    <row r="761" s="9" customFormat="1"/>
    <row r="762" s="9" customFormat="1"/>
    <row r="763" s="9" customFormat="1"/>
    <row r="764" s="9" customFormat="1"/>
    <row r="765" s="9" customFormat="1"/>
    <row r="766" s="9" customFormat="1"/>
    <row r="767" s="9" customFormat="1"/>
    <row r="768" s="9" customFormat="1"/>
    <row r="769" s="9" customFormat="1"/>
    <row r="770" s="9" customFormat="1"/>
    <row r="771" s="9" customFormat="1"/>
    <row r="772" s="9" customFormat="1"/>
    <row r="773" s="9" customFormat="1"/>
    <row r="774" s="9" customFormat="1"/>
    <row r="775" s="9" customFormat="1"/>
    <row r="776" s="9" customFormat="1"/>
    <row r="777" s="9" customFormat="1"/>
    <row r="778" s="9" customFormat="1"/>
    <row r="779" s="9" customFormat="1"/>
    <row r="780" s="9" customFormat="1"/>
    <row r="781" s="9" customFormat="1"/>
    <row r="782" s="9" customFormat="1"/>
    <row r="783" s="9" customFormat="1"/>
    <row r="784" s="9" customFormat="1"/>
    <row r="785" s="9" customFormat="1"/>
    <row r="786" s="9" customFormat="1"/>
    <row r="787" s="9" customFormat="1"/>
    <row r="788" s="9" customFormat="1"/>
    <row r="789" s="9" customFormat="1"/>
    <row r="790" s="9" customFormat="1"/>
    <row r="791" s="9" customFormat="1"/>
    <row r="792" s="9" customFormat="1"/>
    <row r="793" s="9" customFormat="1"/>
    <row r="794" s="9" customFormat="1"/>
    <row r="795" s="9" customFormat="1"/>
    <row r="796" s="9" customFormat="1"/>
    <row r="797" s="9" customFormat="1"/>
    <row r="798" s="9" customFormat="1"/>
    <row r="799" s="9" customFormat="1"/>
    <row r="800" s="9" customFormat="1"/>
    <row r="801" s="9" customFormat="1"/>
    <row r="802" s="9" customFormat="1"/>
    <row r="803" s="9" customFormat="1"/>
    <row r="804" s="9" customFormat="1"/>
    <row r="805" s="9" customFormat="1"/>
    <row r="806" s="9" customFormat="1"/>
    <row r="807" s="9" customFormat="1"/>
    <row r="808" s="9" customFormat="1"/>
    <row r="809" s="9" customFormat="1"/>
    <row r="810" s="9" customFormat="1"/>
    <row r="811" s="9" customFormat="1"/>
    <row r="812" s="9" customFormat="1"/>
    <row r="813" s="9" customFormat="1"/>
    <row r="814" s="9" customFormat="1"/>
    <row r="815" s="9" customFormat="1"/>
    <row r="816" s="9" customFormat="1"/>
    <row r="817" s="9" customFormat="1"/>
    <row r="818" s="9" customFormat="1"/>
    <row r="819" s="9" customFormat="1"/>
    <row r="820" s="9" customFormat="1"/>
    <row r="821" s="9" customFormat="1"/>
    <row r="822" s="9" customFormat="1"/>
    <row r="823" s="9" customFormat="1"/>
    <row r="824" s="9" customFormat="1"/>
    <row r="825" s="9" customFormat="1"/>
    <row r="826" s="9" customFormat="1"/>
    <row r="827" s="9" customFormat="1"/>
    <row r="828" s="9" customFormat="1"/>
    <row r="829" s="9" customFormat="1"/>
    <row r="830" s="9" customFormat="1"/>
    <row r="831" s="9" customFormat="1"/>
    <row r="832" s="9" customFormat="1"/>
    <row r="833" s="9" customFormat="1"/>
    <row r="834" s="9" customFormat="1"/>
    <row r="835" s="9" customFormat="1"/>
    <row r="836" s="9" customFormat="1"/>
    <row r="837" s="9" customFormat="1"/>
    <row r="838" s="9" customFormat="1"/>
    <row r="839" s="9" customFormat="1"/>
    <row r="840" s="9" customFormat="1"/>
    <row r="841" s="9" customFormat="1"/>
    <row r="842" s="9" customFormat="1"/>
    <row r="843" s="9" customFormat="1"/>
    <row r="844" s="9" customFormat="1"/>
    <row r="845" s="9" customFormat="1"/>
    <row r="846" s="9" customFormat="1"/>
    <row r="847" s="9" customFormat="1"/>
    <row r="848" s="9" customFormat="1"/>
    <row r="849" s="9" customFormat="1"/>
    <row r="850" s="9" customFormat="1"/>
    <row r="851" s="9" customFormat="1"/>
    <row r="852" s="9" customFormat="1"/>
    <row r="853" s="9" customFormat="1"/>
    <row r="854" s="9" customFormat="1"/>
    <row r="855" s="9" customFormat="1"/>
    <row r="856" s="9" customFormat="1"/>
    <row r="857" s="9" customFormat="1"/>
    <row r="858" s="9" customFormat="1"/>
    <row r="859" s="9" customFormat="1"/>
    <row r="860" s="9" customFormat="1"/>
    <row r="861" s="9" customFormat="1"/>
    <row r="862" s="9" customFormat="1"/>
    <row r="863" s="9" customFormat="1"/>
    <row r="864" s="9" customFormat="1"/>
    <row r="865" s="9" customFormat="1"/>
    <row r="866" s="9" customFormat="1"/>
    <row r="867" s="9" customFormat="1"/>
    <row r="868" s="9" customFormat="1"/>
    <row r="869" s="9" customFormat="1"/>
    <row r="870" s="9" customFormat="1"/>
    <row r="871" s="9" customFormat="1"/>
    <row r="872" s="9" customFormat="1"/>
    <row r="873" s="9" customFormat="1"/>
    <row r="874" s="9" customFormat="1"/>
    <row r="875" s="9" customFormat="1"/>
    <row r="876" s="9" customFormat="1"/>
    <row r="877" s="9" customFormat="1"/>
    <row r="878" s="9" customFormat="1"/>
    <row r="879" s="9" customFormat="1"/>
    <row r="880" s="9" customFormat="1"/>
    <row r="881" s="9" customFormat="1"/>
    <row r="882" s="9" customFormat="1"/>
    <row r="883" s="9" customFormat="1"/>
    <row r="884" s="9" customFormat="1"/>
    <row r="885" s="9" customFormat="1"/>
    <row r="886" s="9" customFormat="1"/>
    <row r="887" s="9" customFormat="1"/>
    <row r="888" s="9" customFormat="1"/>
    <row r="889" s="9" customFormat="1"/>
    <row r="890" s="9" customFormat="1"/>
    <row r="891" s="9" customFormat="1"/>
    <row r="892" s="9" customFormat="1"/>
    <row r="893" s="9" customFormat="1"/>
    <row r="894" s="9" customFormat="1"/>
    <row r="895" s="9" customFormat="1"/>
    <row r="896" s="9" customFormat="1"/>
    <row r="897" s="9" customFormat="1"/>
    <row r="898" s="9" customFormat="1"/>
    <row r="899" s="9" customFormat="1"/>
    <row r="900" s="9" customFormat="1"/>
    <row r="901" s="9" customFormat="1"/>
    <row r="902" s="9" customFormat="1"/>
    <row r="903" s="9" customFormat="1"/>
    <row r="904" s="9" customFormat="1"/>
    <row r="905" s="9" customFormat="1"/>
    <row r="906" s="9" customFormat="1"/>
    <row r="907" s="9" customFormat="1"/>
    <row r="908" s="9" customFormat="1"/>
    <row r="909" s="9" customFormat="1"/>
    <row r="910" s="9" customFormat="1"/>
    <row r="911" s="9" customFormat="1"/>
    <row r="912" s="9" customFormat="1"/>
    <row r="913" s="9" customFormat="1"/>
    <row r="914" s="9" customFormat="1"/>
    <row r="915" s="9" customFormat="1"/>
    <row r="916" s="9" customFormat="1"/>
    <row r="917" s="9" customFormat="1"/>
    <row r="918" s="9" customFormat="1"/>
    <row r="919" s="9" customFormat="1"/>
    <row r="920" s="9" customFormat="1"/>
    <row r="921" s="9" customFormat="1"/>
    <row r="922" s="9" customFormat="1"/>
    <row r="923" s="9" customFormat="1"/>
    <row r="924" s="9" customFormat="1"/>
    <row r="925" s="9" customFormat="1"/>
    <row r="926" s="9" customFormat="1"/>
    <row r="927" s="9" customFormat="1"/>
    <row r="928" s="9" customFormat="1"/>
    <row r="929" s="9" customFormat="1"/>
    <row r="930" s="9" customFormat="1"/>
    <row r="931" s="9" customFormat="1"/>
    <row r="932" s="9" customFormat="1"/>
    <row r="933" s="9" customFormat="1"/>
    <row r="934" s="9" customFormat="1"/>
    <row r="935" s="9" customFormat="1"/>
    <row r="936" s="9" customFormat="1"/>
    <row r="937" s="9" customFormat="1"/>
    <row r="938" s="9" customFormat="1"/>
    <row r="939" s="9" customFormat="1"/>
    <row r="940" s="9" customFormat="1"/>
    <row r="941" s="9" customFormat="1"/>
    <row r="942" s="9" customFormat="1"/>
    <row r="943" s="9" customFormat="1"/>
    <row r="944" s="9" customFormat="1"/>
    <row r="945" s="9" customFormat="1"/>
    <row r="946" s="9" customFormat="1"/>
    <row r="947" s="9" customFormat="1"/>
    <row r="948" s="9" customFormat="1"/>
    <row r="949" s="9" customFormat="1"/>
    <row r="950" s="9" customFormat="1"/>
    <row r="951" s="9" customFormat="1"/>
    <row r="952" s="9" customFormat="1"/>
    <row r="953" s="9" customFormat="1"/>
    <row r="954" s="9" customFormat="1"/>
    <row r="955" s="9" customFormat="1"/>
    <row r="956" s="9" customFormat="1"/>
    <row r="957" s="9" customFormat="1"/>
    <row r="958" s="9" customFormat="1"/>
    <row r="959" s="9" customFormat="1"/>
    <row r="960" s="9" customFormat="1"/>
    <row r="961" s="9" customFormat="1"/>
    <row r="962" s="9" customFormat="1"/>
    <row r="963" s="9" customFormat="1"/>
    <row r="964" s="9" customFormat="1"/>
    <row r="965" s="9" customFormat="1"/>
    <row r="966" s="9" customFormat="1"/>
    <row r="967" s="9" customFormat="1"/>
    <row r="968" s="9" customFormat="1"/>
    <row r="969" s="9" customFormat="1"/>
    <row r="970" s="9" customFormat="1"/>
    <row r="971" s="9" customFormat="1"/>
    <row r="972" s="9" customFormat="1"/>
    <row r="973" s="9" customFormat="1"/>
    <row r="974" s="9" customFormat="1"/>
    <row r="975" s="9" customFormat="1"/>
    <row r="976" s="9" customFormat="1"/>
    <row r="977" s="9" customFormat="1"/>
    <row r="978" s="9" customFormat="1"/>
    <row r="979" s="9" customFormat="1"/>
    <row r="980" s="9" customFormat="1"/>
    <row r="981" s="9" customFormat="1"/>
    <row r="982" s="9" customFormat="1"/>
    <row r="983" s="9" customFormat="1"/>
    <row r="984" s="9" customFormat="1"/>
    <row r="985" s="9" customFormat="1"/>
    <row r="986" s="9" customFormat="1"/>
    <row r="987" s="9" customFormat="1"/>
    <row r="988" s="9" customFormat="1"/>
    <row r="989" s="9" customFormat="1"/>
    <row r="990" s="9" customFormat="1"/>
    <row r="991" s="9" customFormat="1"/>
    <row r="992" s="9" customFormat="1"/>
    <row r="993" s="9" customFormat="1"/>
    <row r="994" s="9" customFormat="1"/>
    <row r="995" s="9" customFormat="1"/>
    <row r="996" s="9" customFormat="1"/>
    <row r="997" s="9" customFormat="1"/>
    <row r="998" s="9" customFormat="1"/>
    <row r="999" s="9" customFormat="1"/>
    <row r="1000" s="9" customFormat="1"/>
    <row r="1001" s="9" customFormat="1"/>
    <row r="1002" s="9" customFormat="1"/>
    <row r="1003" s="9" customFormat="1"/>
    <row r="1004" s="9" customFormat="1"/>
    <row r="1005" s="9" customFormat="1"/>
    <row r="1006" s="9" customFormat="1"/>
    <row r="1007" s="9" customFormat="1"/>
    <row r="1008" s="9" customFormat="1"/>
    <row r="1009" s="9" customFormat="1"/>
    <row r="1010" s="9" customFormat="1"/>
    <row r="1011" s="9" customFormat="1"/>
    <row r="1012" s="9" customFormat="1"/>
    <row r="1013" s="9" customFormat="1"/>
    <row r="1014" s="9" customFormat="1"/>
    <row r="1015" s="9" customFormat="1"/>
    <row r="1016" s="9" customFormat="1"/>
    <row r="1017" s="9" customFormat="1"/>
    <row r="1018" s="9" customFormat="1"/>
    <row r="1019" s="9" customFormat="1"/>
    <row r="1020" s="9" customFormat="1"/>
    <row r="1021" s="9" customFormat="1"/>
    <row r="1022" s="9" customFormat="1"/>
    <row r="1023" s="9" customFormat="1"/>
    <row r="1024" s="9" customFormat="1"/>
    <row r="1025" s="9" customFormat="1"/>
    <row r="1026" s="9" customFormat="1"/>
    <row r="1027" s="9" customFormat="1"/>
    <row r="1028" s="9" customFormat="1"/>
    <row r="1029" s="9" customFormat="1"/>
    <row r="1030" s="9" customFormat="1"/>
    <row r="1031" s="9" customFormat="1"/>
    <row r="1032" s="9" customFormat="1"/>
    <row r="1033" s="9" customFormat="1"/>
    <row r="1034" s="9" customFormat="1"/>
    <row r="1035" s="9" customFormat="1"/>
    <row r="1036" s="9" customFormat="1"/>
    <row r="1037" s="9" customFormat="1"/>
    <row r="1038" s="9" customFormat="1"/>
    <row r="1039" s="9" customFormat="1"/>
    <row r="1040" s="9" customFormat="1"/>
    <row r="1041" s="9" customFormat="1"/>
    <row r="1042" s="9" customFormat="1"/>
    <row r="1043" s="9" customFormat="1"/>
    <row r="1044" s="9" customFormat="1"/>
    <row r="1045" s="9" customFormat="1"/>
    <row r="1046" s="9" customFormat="1"/>
    <row r="1047" s="9" customFormat="1"/>
    <row r="1048" s="9" customFormat="1"/>
    <row r="1049" s="9" customFormat="1"/>
    <row r="1050" s="9" customFormat="1"/>
    <row r="1051" s="9" customFormat="1"/>
    <row r="1052" s="9" customFormat="1"/>
    <row r="1053" s="9" customFormat="1"/>
    <row r="1054" s="9" customFormat="1"/>
    <row r="1055" s="9" customFormat="1"/>
    <row r="1056" s="9" customFormat="1"/>
    <row r="1057" s="9" customFormat="1"/>
    <row r="1058" s="9" customFormat="1"/>
    <row r="1059" s="9" customFormat="1"/>
    <row r="1060" s="9" customFormat="1"/>
    <row r="1061" s="9" customFormat="1"/>
    <row r="1062" s="9" customFormat="1"/>
    <row r="1063" s="9" customFormat="1"/>
    <row r="1064" s="9" customFormat="1"/>
    <row r="1065" s="9" customFormat="1"/>
    <row r="1066" s="9" customFormat="1"/>
    <row r="1067" s="9" customFormat="1"/>
    <row r="1068" s="9" customFormat="1"/>
    <row r="1069" s="9" customFormat="1"/>
    <row r="1070" s="9" customFormat="1"/>
  </sheetData>
  <mergeCells count="4">
    <mergeCell ref="P9:P10"/>
    <mergeCell ref="Q9:Q10"/>
    <mergeCell ref="R9:R10"/>
    <mergeCell ref="S9:S10"/>
  </mergeCells>
  <pageMargins left="0.7" right="0.7" top="0.75" bottom="0.75" header="0.3" footer="0.3"/>
  <pageSetup paperSize="9" orientation="portrait" r:id="rId1"/>
  <drawing r:id="rId2"/>
  <tableParts count="1">
    <tablePart r:id="rId3"/>
  </tableParts>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G52"/>
  <sheetViews>
    <sheetView zoomScale="78" zoomScaleNormal="78" workbookViewId="0">
      <selection activeCell="I11" sqref="I11"/>
    </sheetView>
  </sheetViews>
  <sheetFormatPr defaultColWidth="8.85546875" defaultRowHeight="15"/>
  <cols>
    <col min="1" max="1" width="18.0703125" style="2" bestFit="1" customWidth="1"/>
    <col min="2" max="2" width="17.640625" style="2" bestFit="1" customWidth="1"/>
    <col min="3" max="3" width="17.85546875" style="2" bestFit="1" customWidth="1"/>
    <col min="4" max="4" width="17.640625" style="2" bestFit="1" customWidth="1"/>
    <col min="5" max="5" width="17.85546875" style="2" bestFit="1" customWidth="1"/>
    <col min="6" max="7" width="10.85546875" style="2" bestFit="1" customWidth="1"/>
    <col min="8" max="16384" width="8.85546875" style="2"/>
  </cols>
  <sheetData>
    <row r="3" spans="1:7" ht="29.25" customHeight="1"/>
    <row r="7" spans="1:7">
      <c r="A7" s="6" t="s">
        <v>47</v>
      </c>
      <c r="B7" s="6" t="s">
        <v>89</v>
      </c>
      <c r="C7" s="6" t="s">
        <v>91</v>
      </c>
      <c r="D7" s="6" t="s">
        <v>88</v>
      </c>
      <c r="E7" s="6" t="s">
        <v>90</v>
      </c>
      <c r="F7"/>
      <c r="G7"/>
    </row>
    <row r="8" spans="1:7">
      <c r="A8" s="7" t="s">
        <v>84</v>
      </c>
      <c r="B8" s="8">
        <v>1937</v>
      </c>
      <c r="C8" s="8">
        <v>1874</v>
      </c>
      <c r="D8" s="8">
        <v>1931</v>
      </c>
      <c r="E8" s="8">
        <v>1830</v>
      </c>
      <c r="F8"/>
      <c r="G8"/>
    </row>
    <row r="9" spans="1:7">
      <c r="A9" s="57" t="s">
        <v>15</v>
      </c>
      <c r="B9" s="56">
        <v>1001</v>
      </c>
      <c r="C9" s="56">
        <v>956</v>
      </c>
      <c r="D9" s="56">
        <v>1004</v>
      </c>
      <c r="E9" s="56">
        <v>932</v>
      </c>
      <c r="F9"/>
      <c r="G9"/>
    </row>
    <row r="10" spans="1:7">
      <c r="A10" s="57" t="s">
        <v>24</v>
      </c>
      <c r="B10" s="56">
        <v>936</v>
      </c>
      <c r="C10" s="56">
        <v>918</v>
      </c>
      <c r="D10" s="56">
        <v>927</v>
      </c>
      <c r="E10" s="56">
        <v>898</v>
      </c>
      <c r="F10"/>
      <c r="G10"/>
    </row>
    <row r="11" spans="1:7">
      <c r="A11" s="14" t="s">
        <v>48</v>
      </c>
      <c r="B11" s="15">
        <v>1937</v>
      </c>
      <c r="C11" s="15">
        <v>1874</v>
      </c>
      <c r="D11" s="15">
        <v>1931</v>
      </c>
      <c r="E11" s="15">
        <v>1830</v>
      </c>
      <c r="F11"/>
      <c r="G11"/>
    </row>
    <row r="12" spans="1:7">
      <c r="A12"/>
      <c r="B12"/>
      <c r="C12"/>
      <c r="D12"/>
      <c r="E12"/>
      <c r="F12"/>
      <c r="G12"/>
    </row>
    <row r="13" spans="1:7">
      <c r="A13"/>
      <c r="B13"/>
      <c r="C13"/>
      <c r="D13"/>
      <c r="E13"/>
      <c r="F13"/>
      <c r="G13"/>
    </row>
    <row r="14" spans="1:7">
      <c r="A14"/>
      <c r="B14"/>
      <c r="C14"/>
      <c r="D14"/>
      <c r="E14"/>
      <c r="F14"/>
      <c r="G14"/>
    </row>
    <row r="15" spans="1:7">
      <c r="A15"/>
      <c r="B15"/>
      <c r="C15"/>
      <c r="D15"/>
      <c r="E15"/>
      <c r="F15"/>
      <c r="G15"/>
    </row>
    <row r="16" spans="1:7">
      <c r="A16"/>
      <c r="B16"/>
      <c r="C16"/>
      <c r="D16"/>
      <c r="E16"/>
      <c r="F16"/>
      <c r="G16"/>
    </row>
    <row r="17" spans="1:7">
      <c r="A17"/>
      <c r="B17"/>
      <c r="C17"/>
      <c r="D17"/>
      <c r="E17"/>
      <c r="F17"/>
      <c r="G17"/>
    </row>
    <row r="18" spans="1:7">
      <c r="A18"/>
      <c r="B18"/>
      <c r="C18"/>
      <c r="D18"/>
      <c r="E18"/>
      <c r="F18"/>
      <c r="G18"/>
    </row>
    <row r="19" spans="1:7">
      <c r="A19"/>
      <c r="B19"/>
      <c r="C19"/>
      <c r="D19"/>
      <c r="E19"/>
      <c r="F19"/>
      <c r="G19"/>
    </row>
    <row r="20" spans="1:7">
      <c r="A20"/>
      <c r="B20"/>
      <c r="C20"/>
      <c r="D20"/>
      <c r="E20"/>
      <c r="F20"/>
      <c r="G20"/>
    </row>
    <row r="21" spans="1:7">
      <c r="A21"/>
      <c r="B21"/>
      <c r="C21"/>
      <c r="D21"/>
      <c r="E21"/>
      <c r="F21"/>
      <c r="G21"/>
    </row>
    <row r="22" spans="1:7">
      <c r="A22"/>
      <c r="B22"/>
      <c r="C22"/>
      <c r="D22"/>
      <c r="E22"/>
      <c r="F22"/>
      <c r="G22"/>
    </row>
    <row r="23" spans="1:7">
      <c r="A23"/>
      <c r="B23"/>
      <c r="C23"/>
      <c r="D23"/>
      <c r="E23"/>
      <c r="F23"/>
      <c r="G23"/>
    </row>
    <row r="24" spans="1:7">
      <c r="A24"/>
      <c r="B24"/>
      <c r="C24"/>
      <c r="D24"/>
      <c r="E24"/>
      <c r="F24"/>
      <c r="G24"/>
    </row>
    <row r="25" spans="1:7">
      <c r="A25"/>
      <c r="B25"/>
      <c r="C25"/>
      <c r="D25"/>
      <c r="E25"/>
      <c r="F25"/>
      <c r="G25"/>
    </row>
    <row r="26" spans="1:7">
      <c r="A26"/>
      <c r="B26"/>
      <c r="C26"/>
      <c r="D26"/>
      <c r="E26"/>
      <c r="F26"/>
      <c r="G26"/>
    </row>
    <row r="27" spans="1:7">
      <c r="A27"/>
      <c r="B27"/>
      <c r="C27"/>
      <c r="D27"/>
      <c r="E27"/>
      <c r="F27"/>
      <c r="G27"/>
    </row>
    <row r="28" spans="1:7">
      <c r="A28"/>
      <c r="B28"/>
      <c r="C28"/>
      <c r="D28"/>
      <c r="E28"/>
      <c r="F28"/>
      <c r="G28"/>
    </row>
    <row r="29" spans="1:7">
      <c r="A29"/>
      <c r="B29"/>
      <c r="C29"/>
      <c r="D29"/>
      <c r="E29"/>
      <c r="F29"/>
      <c r="G29"/>
    </row>
    <row r="30" spans="1:7">
      <c r="A30"/>
      <c r="B30"/>
      <c r="C30"/>
      <c r="D30"/>
      <c r="E30"/>
      <c r="F30"/>
      <c r="G30"/>
    </row>
    <row r="31" spans="1:7">
      <c r="A31"/>
      <c r="B31"/>
      <c r="C31"/>
      <c r="D31"/>
      <c r="E31"/>
      <c r="F31"/>
      <c r="G31"/>
    </row>
    <row r="32" spans="1:7">
      <c r="A32"/>
      <c r="B32"/>
      <c r="C32"/>
      <c r="D32"/>
      <c r="E32"/>
      <c r="F32"/>
      <c r="G32"/>
    </row>
    <row r="33" spans="1:7">
      <c r="A33"/>
      <c r="B33"/>
      <c r="C33"/>
      <c r="D33"/>
      <c r="E33"/>
      <c r="F33"/>
      <c r="G33"/>
    </row>
    <row r="34" spans="1:7">
      <c r="A34"/>
      <c r="B34"/>
      <c r="C34"/>
      <c r="D34"/>
      <c r="E34"/>
      <c r="F34"/>
      <c r="G34"/>
    </row>
    <row r="35" spans="1:7">
      <c r="A35"/>
      <c r="B35"/>
      <c r="C35"/>
      <c r="D35"/>
      <c r="E35"/>
      <c r="F35"/>
      <c r="G35"/>
    </row>
    <row r="36" spans="1:7">
      <c r="A36"/>
      <c r="B36"/>
      <c r="C36"/>
      <c r="D36"/>
      <c r="E36"/>
      <c r="F36"/>
      <c r="G36"/>
    </row>
    <row r="37" spans="1:7">
      <c r="A37"/>
      <c r="B37"/>
      <c r="C37"/>
      <c r="D37"/>
      <c r="E37"/>
      <c r="F37"/>
      <c r="G37"/>
    </row>
    <row r="38" spans="1:7">
      <c r="A38"/>
      <c r="B38"/>
      <c r="C38"/>
      <c r="D38"/>
      <c r="E38"/>
      <c r="F38"/>
      <c r="G38"/>
    </row>
    <row r="39" spans="1:7">
      <c r="A39"/>
      <c r="B39"/>
      <c r="C39"/>
      <c r="D39"/>
      <c r="E39"/>
      <c r="F39"/>
      <c r="G39"/>
    </row>
    <row r="40" spans="1:7">
      <c r="A40"/>
      <c r="B40"/>
      <c r="C40"/>
      <c r="D40"/>
      <c r="E40"/>
      <c r="F40"/>
      <c r="G40"/>
    </row>
    <row r="41" spans="1:7">
      <c r="A41"/>
      <c r="B41"/>
      <c r="C41"/>
      <c r="D41"/>
      <c r="E41"/>
      <c r="F41"/>
      <c r="G41"/>
    </row>
    <row r="42" spans="1:7">
      <c r="A42"/>
      <c r="B42"/>
      <c r="C42"/>
      <c r="D42"/>
      <c r="E42"/>
      <c r="F42"/>
      <c r="G42"/>
    </row>
    <row r="43" spans="1:7">
      <c r="A43"/>
      <c r="B43"/>
      <c r="C43"/>
      <c r="D43"/>
      <c r="E43"/>
      <c r="F43"/>
      <c r="G43"/>
    </row>
    <row r="44" spans="1:7">
      <c r="A44"/>
      <c r="B44"/>
      <c r="C44"/>
      <c r="D44"/>
      <c r="E44"/>
      <c r="F44"/>
      <c r="G44"/>
    </row>
    <row r="45" spans="1:7">
      <c r="A45"/>
      <c r="B45"/>
      <c r="C45"/>
      <c r="D45"/>
      <c r="E45"/>
      <c r="F45"/>
      <c r="G45"/>
    </row>
    <row r="46" spans="1:7">
      <c r="A46"/>
      <c r="B46"/>
      <c r="C46"/>
      <c r="D46"/>
      <c r="E46"/>
      <c r="F46"/>
      <c r="G46"/>
    </row>
    <row r="47" spans="1:7">
      <c r="A47"/>
      <c r="B47"/>
      <c r="C47"/>
      <c r="D47"/>
      <c r="E47"/>
      <c r="F47"/>
      <c r="G47"/>
    </row>
    <row r="48" spans="1:7">
      <c r="A48"/>
      <c r="B48"/>
      <c r="C48"/>
      <c r="D48"/>
      <c r="E48"/>
      <c r="F48"/>
      <c r="G48"/>
    </row>
    <row r="49" spans="1:7">
      <c r="A49"/>
      <c r="B49"/>
      <c r="C49"/>
      <c r="D49"/>
      <c r="E49"/>
      <c r="F49"/>
      <c r="G49"/>
    </row>
    <row r="50" spans="1:7">
      <c r="A50"/>
      <c r="B50"/>
      <c r="C50"/>
      <c r="D50"/>
      <c r="E50"/>
      <c r="F50"/>
      <c r="G50"/>
    </row>
    <row r="51" spans="1:7">
      <c r="A51"/>
      <c r="B51"/>
      <c r="C51"/>
      <c r="D51"/>
      <c r="E51"/>
      <c r="F51"/>
      <c r="G51"/>
    </row>
    <row r="52" spans="1:7">
      <c r="A52"/>
      <c r="B52"/>
      <c r="C52"/>
      <c r="D52"/>
      <c r="E52"/>
      <c r="F52"/>
      <c r="G52"/>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7:D44"/>
  <sheetViews>
    <sheetView zoomScale="84" zoomScaleNormal="84" workbookViewId="0">
      <selection activeCell="D8" sqref="D8"/>
    </sheetView>
  </sheetViews>
  <sheetFormatPr defaultColWidth="8.85546875" defaultRowHeight="15"/>
  <cols>
    <col min="1" max="1" width="13.42578125" style="2" bestFit="1" customWidth="1"/>
    <col min="2" max="3" width="11.640625" style="2" bestFit="1" customWidth="1"/>
    <col min="4" max="4" width="20.5703125" style="2" bestFit="1" customWidth="1"/>
    <col min="5" max="5" width="12.640625" style="2" bestFit="1" customWidth="1"/>
    <col min="6" max="6" width="13.140625" style="2" bestFit="1" customWidth="1"/>
    <col min="7" max="7" width="11.85546875" style="2" bestFit="1" customWidth="1"/>
    <col min="8" max="8" width="12.140625" style="2" customWidth="1"/>
    <col min="9" max="9" width="11.42578125" style="2" customWidth="1"/>
    <col min="10" max="10" width="6.85546875" style="2" customWidth="1"/>
    <col min="11" max="11" width="7" style="2" customWidth="1"/>
    <col min="12" max="12" width="11.42578125" style="2" bestFit="1" customWidth="1"/>
    <col min="13" max="16384" width="8.85546875" style="2"/>
  </cols>
  <sheetData>
    <row r="7" spans="1:4">
      <c r="A7" s="6" t="s">
        <v>47</v>
      </c>
      <c r="B7" s="6" t="s">
        <v>50</v>
      </c>
      <c r="C7" s="6" t="s">
        <v>49</v>
      </c>
      <c r="D7" s="6" t="s">
        <v>51</v>
      </c>
    </row>
    <row r="8" spans="1:4">
      <c r="A8" s="55" t="s">
        <v>18</v>
      </c>
      <c r="B8" s="8">
        <v>861</v>
      </c>
      <c r="C8" s="8">
        <v>879</v>
      </c>
      <c r="D8" s="8">
        <v>18</v>
      </c>
    </row>
    <row r="9" spans="1:4">
      <c r="A9" s="7" t="s">
        <v>48</v>
      </c>
      <c r="B9" s="8">
        <v>861</v>
      </c>
      <c r="C9" s="8">
        <v>879</v>
      </c>
      <c r="D9" s="8">
        <v>18</v>
      </c>
    </row>
    <row r="10" spans="1:4">
      <c r="A10"/>
      <c r="B10"/>
      <c r="C10"/>
      <c r="D10"/>
    </row>
    <row r="11" spans="1:4">
      <c r="A11"/>
      <c r="B11"/>
      <c r="C11"/>
      <c r="D11"/>
    </row>
    <row r="12" spans="1:4">
      <c r="A12"/>
      <c r="B12"/>
      <c r="C12"/>
      <c r="D12"/>
    </row>
    <row r="13" spans="1:4">
      <c r="A13"/>
      <c r="B13"/>
      <c r="C13"/>
      <c r="D13"/>
    </row>
    <row r="14" spans="1:4">
      <c r="A14"/>
      <c r="B14"/>
      <c r="C14"/>
      <c r="D14"/>
    </row>
    <row r="15" spans="1:4">
      <c r="A15"/>
      <c r="B15"/>
      <c r="C15"/>
      <c r="D15"/>
    </row>
    <row r="16" spans="1:4">
      <c r="A16"/>
      <c r="B16"/>
      <c r="C16"/>
      <c r="D16"/>
    </row>
    <row r="17" spans="1:4">
      <c r="A17"/>
      <c r="B17"/>
      <c r="C17"/>
      <c r="D17"/>
    </row>
    <row r="18" spans="1:4">
      <c r="A18"/>
      <c r="B18"/>
      <c r="C18"/>
      <c r="D18"/>
    </row>
    <row r="19" spans="1:4">
      <c r="A19"/>
      <c r="B19"/>
      <c r="C19"/>
      <c r="D19"/>
    </row>
    <row r="20" spans="1:4">
      <c r="A20"/>
      <c r="B20"/>
      <c r="C20"/>
      <c r="D20"/>
    </row>
    <row r="21" spans="1:4">
      <c r="A21"/>
      <c r="B21"/>
      <c r="C21"/>
      <c r="D21"/>
    </row>
    <row r="22" spans="1:4">
      <c r="A22"/>
      <c r="B22"/>
      <c r="C22"/>
      <c r="D22"/>
    </row>
    <row r="23" spans="1:4">
      <c r="A23"/>
      <c r="B23"/>
      <c r="C23"/>
      <c r="D23"/>
    </row>
    <row r="24" spans="1:4">
      <c r="A24"/>
      <c r="B24"/>
      <c r="C24"/>
      <c r="D24"/>
    </row>
    <row r="25" spans="1:4">
      <c r="A25"/>
      <c r="B25"/>
      <c r="C25"/>
      <c r="D25"/>
    </row>
    <row r="26" spans="1:4">
      <c r="A26"/>
      <c r="B26"/>
      <c r="C26"/>
      <c r="D26"/>
    </row>
    <row r="27" spans="1:4">
      <c r="A27"/>
      <c r="B27"/>
      <c r="C27"/>
      <c r="D27"/>
    </row>
    <row r="28" spans="1:4">
      <c r="A28"/>
      <c r="B28"/>
      <c r="C28"/>
      <c r="D28"/>
    </row>
    <row r="29" spans="1:4">
      <c r="A29"/>
      <c r="B29"/>
      <c r="C29"/>
      <c r="D29"/>
    </row>
    <row r="30" spans="1:4">
      <c r="A30"/>
      <c r="B30"/>
      <c r="C30"/>
      <c r="D30"/>
    </row>
    <row r="31" spans="1:4">
      <c r="A31"/>
      <c r="B31"/>
      <c r="C31"/>
      <c r="D31"/>
    </row>
    <row r="32" spans="1:4">
      <c r="A32"/>
      <c r="B32"/>
      <c r="C32"/>
      <c r="D32"/>
    </row>
    <row r="33" spans="1:4">
      <c r="A33"/>
      <c r="B33"/>
      <c r="C33"/>
      <c r="D33"/>
    </row>
    <row r="34" spans="1:4">
      <c r="A34"/>
      <c r="B34"/>
      <c r="C34"/>
      <c r="D34"/>
    </row>
    <row r="35" spans="1:4">
      <c r="A35"/>
      <c r="B35"/>
      <c r="C35"/>
      <c r="D35"/>
    </row>
    <row r="36" spans="1:4">
      <c r="A36"/>
      <c r="B36"/>
      <c r="C36"/>
      <c r="D36"/>
    </row>
    <row r="37" spans="1:4">
      <c r="A37"/>
      <c r="B37"/>
      <c r="C37"/>
      <c r="D37"/>
    </row>
    <row r="38" spans="1:4">
      <c r="A38"/>
      <c r="B38"/>
      <c r="C38"/>
      <c r="D38"/>
    </row>
    <row r="39" spans="1:4">
      <c r="A39"/>
      <c r="B39"/>
      <c r="C39"/>
      <c r="D39"/>
    </row>
    <row r="40" spans="1:4">
      <c r="A40"/>
      <c r="B40"/>
      <c r="C40"/>
      <c r="D40"/>
    </row>
    <row r="41" spans="1:4">
      <c r="A41"/>
      <c r="B41"/>
      <c r="C41"/>
      <c r="D41"/>
    </row>
    <row r="42" spans="1:4">
      <c r="A42"/>
      <c r="B42"/>
      <c r="C42"/>
      <c r="D42"/>
    </row>
    <row r="43" spans="1:4">
      <c r="A43"/>
      <c r="B43"/>
      <c r="C43"/>
      <c r="D43"/>
    </row>
    <row r="44" spans="1:4">
      <c r="A44"/>
      <c r="B44"/>
      <c r="C44"/>
      <c r="D44"/>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1:C23"/>
  <sheetViews>
    <sheetView topLeftCell="A6" zoomScale="86" zoomScaleNormal="86" workbookViewId="0">
      <selection activeCell="D26" sqref="D26"/>
    </sheetView>
  </sheetViews>
  <sheetFormatPr defaultColWidth="8.85546875" defaultRowHeight="15"/>
  <cols>
    <col min="1" max="1" width="14.42578125" style="2" bestFit="1" customWidth="1"/>
    <col min="2" max="4" width="10.35546875" style="2" bestFit="1" customWidth="1"/>
    <col min="5" max="16384" width="8.85546875" style="2"/>
  </cols>
  <sheetData>
    <row r="11" spans="1:3">
      <c r="A11" s="5" t="s">
        <v>47</v>
      </c>
      <c r="B11" s="5" t="s">
        <v>49</v>
      </c>
      <c r="C11" s="5" t="s">
        <v>50</v>
      </c>
    </row>
    <row r="12" spans="1:3">
      <c r="A12" s="7" t="s">
        <v>11</v>
      </c>
      <c r="B12" s="8">
        <v>993</v>
      </c>
      <c r="C12" s="8">
        <v>978</v>
      </c>
    </row>
    <row r="13" spans="1:3">
      <c r="A13" s="7" t="s">
        <v>15</v>
      </c>
      <c r="B13" s="8">
        <v>991</v>
      </c>
      <c r="C13" s="8">
        <v>989</v>
      </c>
    </row>
    <row r="14" spans="1:3">
      <c r="A14" s="7" t="s">
        <v>16</v>
      </c>
      <c r="B14" s="8">
        <v>973</v>
      </c>
      <c r="C14" s="8">
        <v>961</v>
      </c>
    </row>
    <row r="15" spans="1:3">
      <c r="A15" s="7" t="s">
        <v>22</v>
      </c>
      <c r="B15" s="8">
        <v>973</v>
      </c>
      <c r="C15" s="8">
        <v>965</v>
      </c>
    </row>
    <row r="16" spans="1:3">
      <c r="A16" s="7" t="s">
        <v>23</v>
      </c>
      <c r="B16" s="8">
        <v>1084</v>
      </c>
      <c r="C16" s="8">
        <v>1058</v>
      </c>
    </row>
    <row r="17" spans="1:3">
      <c r="A17" s="7" t="s">
        <v>26</v>
      </c>
      <c r="B17" s="8">
        <v>985</v>
      </c>
      <c r="C17" s="8">
        <v>978</v>
      </c>
    </row>
    <row r="18" spans="1:3">
      <c r="A18" s="7" t="s">
        <v>27</v>
      </c>
      <c r="B18" s="8">
        <v>989</v>
      </c>
      <c r="C18" s="8">
        <v>972</v>
      </c>
    </row>
    <row r="19" spans="1:3">
      <c r="A19" s="7" t="s">
        <v>28</v>
      </c>
      <c r="B19" s="8">
        <v>976</v>
      </c>
      <c r="C19" s="8">
        <v>935</v>
      </c>
    </row>
    <row r="20" spans="1:3">
      <c r="A20" s="7" t="s">
        <v>30</v>
      </c>
      <c r="B20" s="8">
        <v>979</v>
      </c>
      <c r="C20" s="8">
        <v>972</v>
      </c>
    </row>
    <row r="21" spans="1:3">
      <c r="A21" s="7" t="s">
        <v>46</v>
      </c>
      <c r="B21" s="8">
        <v>1037</v>
      </c>
      <c r="C21" s="8">
        <v>1001</v>
      </c>
    </row>
    <row r="22" spans="1:3">
      <c r="A22" s="7" t="s">
        <v>34</v>
      </c>
      <c r="B22" s="8">
        <v>996</v>
      </c>
      <c r="C22" s="8">
        <v>987</v>
      </c>
    </row>
    <row r="23" spans="1:3">
      <c r="A23" s="12" t="s">
        <v>48</v>
      </c>
      <c r="B23" s="13">
        <v>10976</v>
      </c>
      <c r="C23" s="13">
        <v>10796</v>
      </c>
    </row>
  </sheetData>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3:G40"/>
  <sheetViews>
    <sheetView topLeftCell="A8" zoomScale="86" zoomScaleNormal="86" workbookViewId="0">
      <selection activeCell="D27" sqref="D27"/>
    </sheetView>
  </sheetViews>
  <sheetFormatPr defaultColWidth="8.85546875" defaultRowHeight="15"/>
  <cols>
    <col min="1" max="1" width="12.0703125" style="2" bestFit="1" customWidth="1"/>
    <col min="2" max="2" width="14.92578125" style="2" bestFit="1" customWidth="1"/>
    <col min="3" max="3" width="9.92578125" style="2" bestFit="1" customWidth="1"/>
    <col min="4" max="4" width="15" style="2" customWidth="1"/>
    <col min="5" max="6" width="11.0703125" style="2" bestFit="1" customWidth="1"/>
    <col min="7" max="7" width="10.5703125" style="17" customWidth="1"/>
    <col min="8" max="16384" width="8.85546875" style="2"/>
  </cols>
  <sheetData>
    <row r="3" spans="1:7">
      <c r="G3" s="2"/>
    </row>
    <row r="4" spans="1:7">
      <c r="G4" s="2"/>
    </row>
    <row r="5" spans="1:7">
      <c r="G5" s="2"/>
    </row>
    <row r="6" spans="1:7">
      <c r="G6" s="2"/>
    </row>
    <row r="7" spans="1:7">
      <c r="G7" s="2"/>
    </row>
    <row r="8" spans="1:7">
      <c r="G8" s="2"/>
    </row>
    <row r="9" spans="1:7">
      <c r="G9" s="2"/>
    </row>
    <row r="10" spans="1:7">
      <c r="G10" s="2"/>
    </row>
    <row r="11" spans="1:7">
      <c r="G11" s="2"/>
    </row>
    <row r="12" spans="1:7">
      <c r="G12" s="2"/>
    </row>
    <row r="13" spans="1:7">
      <c r="A13" s="2" t="s">
        <v>0</v>
      </c>
      <c r="B13" s="2" t="s">
        <v>39</v>
      </c>
      <c r="G13" s="2"/>
    </row>
    <row r="14" spans="1:7">
      <c r="G14" s="2"/>
    </row>
    <row r="15" spans="1:7">
      <c r="A15" s="6" t="s">
        <v>47</v>
      </c>
      <c r="B15" s="16" t="s">
        <v>52</v>
      </c>
      <c r="C15" s="16" t="s">
        <v>53</v>
      </c>
      <c r="D15" s="6" t="s">
        <v>118</v>
      </c>
      <c r="G15" s="2"/>
    </row>
    <row r="16" spans="1:7">
      <c r="A16" s="10" t="s">
        <v>40</v>
      </c>
      <c r="B16" s="18">
        <v>1.0564417177914109</v>
      </c>
      <c r="C16" s="18">
        <v>1.0034324942791761</v>
      </c>
      <c r="D16" s="18">
        <v>1.0299371060352935</v>
      </c>
      <c r="G16" s="2"/>
    </row>
    <row r="17" spans="1:7">
      <c r="A17" s="10" t="s">
        <v>41</v>
      </c>
      <c r="B17" s="18">
        <v>0.78015075376884424</v>
      </c>
      <c r="C17" s="18">
        <v>0.83941605839416056</v>
      </c>
      <c r="D17" s="18">
        <v>0.80978340608150234</v>
      </c>
      <c r="G17" s="2"/>
    </row>
    <row r="18" spans="1:7">
      <c r="A18" s="10" t="s">
        <v>42</v>
      </c>
      <c r="B18" s="18">
        <v>1.2329956584659914</v>
      </c>
      <c r="C18" s="18">
        <v>1.2653958944281525</v>
      </c>
      <c r="D18" s="18">
        <v>1.2491957764470718</v>
      </c>
      <c r="G18" s="2"/>
    </row>
    <row r="19" spans="1:7">
      <c r="A19" s="10" t="s">
        <v>43</v>
      </c>
      <c r="B19" s="18">
        <v>0.59552845528455289</v>
      </c>
      <c r="C19" s="18">
        <v>1.5680580762250453</v>
      </c>
      <c r="D19" s="18">
        <v>1.0817932657547991</v>
      </c>
      <c r="G19" s="2"/>
    </row>
    <row r="20" spans="1:7">
      <c r="A20" s="10" t="s">
        <v>44</v>
      </c>
      <c r="B20" s="18">
        <v>1.0256684491978609</v>
      </c>
      <c r="C20" s="18">
        <v>1.0074074074074073</v>
      </c>
      <c r="D20" s="18">
        <v>1.0165379283026341</v>
      </c>
      <c r="G20" s="2"/>
    </row>
    <row r="21" spans="1:7">
      <c r="A21" s="10" t="s">
        <v>45</v>
      </c>
      <c r="B21" s="18">
        <v>0.98540145985401462</v>
      </c>
      <c r="C21" s="18">
        <v>0.98156682027649766</v>
      </c>
      <c r="D21" s="18">
        <v>0.98348414006525608</v>
      </c>
      <c r="G21" s="2"/>
    </row>
    <row r="22" spans="1:7">
      <c r="A22" s="10" t="s">
        <v>46</v>
      </c>
      <c r="B22" s="18">
        <v>0.98311817279046676</v>
      </c>
      <c r="C22" s="18">
        <v>0.98656429942418422</v>
      </c>
      <c r="D22" s="18">
        <v>0.98484123610732555</v>
      </c>
      <c r="G22" s="2"/>
    </row>
    <row r="23" spans="1:7">
      <c r="A23" s="14" t="s">
        <v>48</v>
      </c>
      <c r="B23" s="16">
        <v>0.93867768595041323</v>
      </c>
      <c r="C23" s="16">
        <v>1.0591286307053942</v>
      </c>
      <c r="D23" s="16">
        <v>0.99890315832790377</v>
      </c>
      <c r="G23" s="2"/>
    </row>
    <row r="24" spans="1:7">
      <c r="G24" s="2"/>
    </row>
    <row r="25" spans="1:7">
      <c r="G25" s="2"/>
    </row>
    <row r="26" spans="1:7">
      <c r="G26" s="2"/>
    </row>
    <row r="27" spans="1:7">
      <c r="G27" s="2"/>
    </row>
    <row r="28" spans="1:7">
      <c r="G28" s="2"/>
    </row>
    <row r="29" spans="1:7">
      <c r="G29" s="2"/>
    </row>
    <row r="30" spans="1:7">
      <c r="G30" s="2"/>
    </row>
    <row r="31" spans="1:7">
      <c r="G31" s="2"/>
    </row>
    <row r="32" spans="1:7">
      <c r="G32" s="2"/>
    </row>
    <row r="33" spans="7:7">
      <c r="G33" s="2"/>
    </row>
    <row r="34" spans="7:7">
      <c r="G34" s="2"/>
    </row>
    <row r="35" spans="7:7">
      <c r="G35" s="2"/>
    </row>
    <row r="36" spans="7:7">
      <c r="G36" s="2"/>
    </row>
    <row r="37" spans="7:7">
      <c r="G37" s="2"/>
    </row>
    <row r="38" spans="7:7">
      <c r="G38" s="2"/>
    </row>
    <row r="39" spans="7:7">
      <c r="G39" s="2"/>
    </row>
    <row r="40" spans="7:7">
      <c r="G40" s="2"/>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7:E14"/>
  <sheetViews>
    <sheetView topLeftCell="A4" zoomScale="86" zoomScaleNormal="86" workbookViewId="0">
      <selection activeCell="A7" sqref="A7"/>
    </sheetView>
  </sheetViews>
  <sheetFormatPr defaultColWidth="8.85546875" defaultRowHeight="15"/>
  <cols>
    <col min="1" max="1" width="14.7109375" style="2" bestFit="1" customWidth="1"/>
    <col min="2" max="3" width="21.0703125" style="2" bestFit="1" customWidth="1"/>
    <col min="4" max="5" width="16.85546875" style="2" bestFit="1" customWidth="1"/>
    <col min="6" max="13" width="4.140625" style="2" bestFit="1" customWidth="1"/>
    <col min="14" max="14" width="5.35546875" style="2" bestFit="1" customWidth="1"/>
    <col min="15" max="19" width="4.140625" style="2" bestFit="1" customWidth="1"/>
    <col min="20" max="20" width="5.35546875" style="2" bestFit="1" customWidth="1"/>
    <col min="21" max="21" width="4.140625" style="2" bestFit="1" customWidth="1"/>
    <col min="22" max="22" width="5.35546875" style="2" bestFit="1" customWidth="1"/>
    <col min="23" max="26" width="4.140625" style="2" bestFit="1" customWidth="1"/>
    <col min="27" max="28" width="5.35546875" style="2" bestFit="1" customWidth="1"/>
    <col min="29" max="30" width="4.140625" style="2" bestFit="1" customWidth="1"/>
    <col min="31" max="32" width="5.35546875" style="2" bestFit="1" customWidth="1"/>
    <col min="33" max="33" width="22.5" style="2" bestFit="1" customWidth="1"/>
    <col min="34" max="44" width="4.140625" style="2" bestFit="1" customWidth="1"/>
    <col min="45" max="45" width="5.35546875" style="2" bestFit="1" customWidth="1"/>
    <col min="46" max="50" width="4.140625" style="2" bestFit="1" customWidth="1"/>
    <col min="51" max="51" width="5.35546875" style="2" bestFit="1" customWidth="1"/>
    <col min="52" max="52" width="4.140625" style="2" bestFit="1" customWidth="1"/>
    <col min="53" max="53" width="5.35546875" style="2" bestFit="1" customWidth="1"/>
    <col min="54" max="57" width="4.140625" style="2" bestFit="1" customWidth="1"/>
    <col min="58" max="59" width="5.35546875" style="2" bestFit="1" customWidth="1"/>
    <col min="60" max="61" width="4.140625" style="2" bestFit="1" customWidth="1"/>
    <col min="62" max="63" width="5.35546875" style="2" bestFit="1" customWidth="1"/>
    <col min="64" max="65" width="27.5703125" style="2" bestFit="1" customWidth="1"/>
    <col min="66" max="16384" width="8.85546875" style="2"/>
  </cols>
  <sheetData>
    <row r="7" spans="1:5">
      <c r="A7" s="6" t="s">
        <v>47</v>
      </c>
      <c r="B7" s="6" t="s">
        <v>60</v>
      </c>
      <c r="C7" s="6" t="s">
        <v>61</v>
      </c>
      <c r="D7" s="6" t="s">
        <v>62</v>
      </c>
      <c r="E7" s="6" t="s">
        <v>63</v>
      </c>
    </row>
    <row r="8" spans="1:5">
      <c r="A8" s="10" t="s">
        <v>14</v>
      </c>
      <c r="B8" s="11">
        <v>942</v>
      </c>
      <c r="C8" s="11">
        <v>935</v>
      </c>
      <c r="D8" s="11">
        <v>919</v>
      </c>
      <c r="E8" s="11">
        <v>918</v>
      </c>
    </row>
    <row r="9" spans="1:5">
      <c r="A9" s="10" t="s">
        <v>24</v>
      </c>
      <c r="B9" s="11">
        <v>932</v>
      </c>
      <c r="C9" s="11">
        <v>918</v>
      </c>
      <c r="D9" s="11">
        <v>919</v>
      </c>
      <c r="E9" s="11">
        <v>931</v>
      </c>
    </row>
    <row r="10" spans="1:5">
      <c r="A10" s="10" t="s">
        <v>25</v>
      </c>
      <c r="B10" s="11">
        <v>913</v>
      </c>
      <c r="C10" s="11">
        <v>894</v>
      </c>
      <c r="D10" s="11">
        <v>922</v>
      </c>
      <c r="E10" s="11">
        <v>929</v>
      </c>
    </row>
    <row r="11" spans="1:5">
      <c r="A11" s="10" t="s">
        <v>36</v>
      </c>
      <c r="B11" s="11">
        <v>916</v>
      </c>
      <c r="C11" s="11">
        <v>902</v>
      </c>
      <c r="D11" s="11">
        <v>898</v>
      </c>
      <c r="E11" s="11">
        <v>912</v>
      </c>
    </row>
    <row r="12" spans="1:5">
      <c r="A12" s="10" t="s">
        <v>38</v>
      </c>
      <c r="B12" s="11">
        <v>960</v>
      </c>
      <c r="C12" s="11">
        <v>956</v>
      </c>
      <c r="D12" s="11">
        <v>934</v>
      </c>
      <c r="E12" s="11">
        <v>950</v>
      </c>
    </row>
    <row r="13" spans="1:5">
      <c r="A13" s="14" t="s">
        <v>48</v>
      </c>
      <c r="B13" s="15">
        <v>4663</v>
      </c>
      <c r="C13" s="15">
        <v>4605</v>
      </c>
      <c r="D13" s="15">
        <v>4592</v>
      </c>
      <c r="E13" s="15">
        <v>4640</v>
      </c>
    </row>
    <row r="14" spans="1:5">
      <c r="A14"/>
      <c r="B14"/>
      <c r="C14"/>
      <c r="D14"/>
      <c r="E14"/>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3:D319"/>
  <sheetViews>
    <sheetView zoomScale="89" zoomScaleNormal="89" workbookViewId="0">
      <selection activeCell="D4" sqref="D4"/>
    </sheetView>
  </sheetViews>
  <sheetFormatPr defaultColWidth="8.85546875" defaultRowHeight="15"/>
  <cols>
    <col min="1" max="1" width="16.7109375" style="2" bestFit="1" customWidth="1"/>
    <col min="2" max="2" width="18" style="2" bestFit="1" customWidth="1"/>
    <col min="3" max="3" width="18.0703125" style="2" bestFit="1" customWidth="1"/>
    <col min="4" max="4" width="11" style="2" bestFit="1" customWidth="1"/>
    <col min="5" max="16384" width="8.85546875" style="2"/>
  </cols>
  <sheetData>
    <row r="3" spans="1:4">
      <c r="A3" s="6" t="s">
        <v>1</v>
      </c>
      <c r="B3" s="6" t="s">
        <v>114</v>
      </c>
      <c r="C3" s="6" t="s">
        <v>115</v>
      </c>
      <c r="D3"/>
    </row>
    <row r="4" spans="1:4">
      <c r="A4" s="10" t="s">
        <v>38</v>
      </c>
      <c r="B4" s="11">
        <v>20</v>
      </c>
      <c r="C4" s="11">
        <v>15</v>
      </c>
      <c r="D4"/>
    </row>
    <row r="5" spans="1:4">
      <c r="A5" s="10" t="s">
        <v>40</v>
      </c>
      <c r="B5" s="11">
        <v>10</v>
      </c>
      <c r="C5" s="11">
        <v>30</v>
      </c>
      <c r="D5"/>
    </row>
    <row r="6" spans="1:4">
      <c r="A6" s="10" t="s">
        <v>11</v>
      </c>
      <c r="B6" s="11">
        <v>32</v>
      </c>
      <c r="C6" s="11">
        <v>4</v>
      </c>
      <c r="D6"/>
    </row>
    <row r="7" spans="1:4">
      <c r="A7" s="10" t="s">
        <v>12</v>
      </c>
      <c r="B7" s="11">
        <v>35</v>
      </c>
      <c r="C7" s="11">
        <v>19</v>
      </c>
      <c r="D7"/>
    </row>
    <row r="8" spans="1:4">
      <c r="A8" s="10" t="s">
        <v>13</v>
      </c>
      <c r="B8" s="11">
        <v>27</v>
      </c>
      <c r="C8" s="11">
        <v>14</v>
      </c>
      <c r="D8"/>
    </row>
    <row r="9" spans="1:4">
      <c r="A9" s="10" t="s">
        <v>14</v>
      </c>
      <c r="B9" s="11">
        <v>36</v>
      </c>
      <c r="C9" s="11">
        <v>24</v>
      </c>
      <c r="D9"/>
    </row>
    <row r="10" spans="1:4">
      <c r="A10" s="10" t="s">
        <v>41</v>
      </c>
      <c r="B10" s="11">
        <v>8</v>
      </c>
      <c r="C10" s="11">
        <v>32</v>
      </c>
      <c r="D10"/>
    </row>
    <row r="11" spans="1:4">
      <c r="A11" s="10" t="s">
        <v>15</v>
      </c>
      <c r="B11" s="11">
        <v>28</v>
      </c>
      <c r="C11" s="11">
        <v>5</v>
      </c>
      <c r="D11"/>
    </row>
    <row r="12" spans="1:4">
      <c r="A12" s="10" t="s">
        <v>42</v>
      </c>
      <c r="B12" s="11">
        <v>19</v>
      </c>
      <c r="C12" s="11">
        <v>33</v>
      </c>
      <c r="D12"/>
    </row>
    <row r="13" spans="1:4">
      <c r="A13" s="10" t="s">
        <v>43</v>
      </c>
      <c r="B13" s="11">
        <v>6</v>
      </c>
      <c r="C13" s="11">
        <v>34</v>
      </c>
      <c r="D13"/>
    </row>
    <row r="14" spans="1:4">
      <c r="A14" s="10" t="s">
        <v>16</v>
      </c>
      <c r="B14" s="11">
        <v>5</v>
      </c>
      <c r="C14" s="11">
        <v>10</v>
      </c>
      <c r="D14"/>
    </row>
    <row r="15" spans="1:4">
      <c r="A15" s="10" t="s">
        <v>17</v>
      </c>
      <c r="B15" s="11">
        <v>18</v>
      </c>
      <c r="C15" s="11">
        <v>23</v>
      </c>
      <c r="D15"/>
    </row>
    <row r="16" spans="1:4">
      <c r="A16" s="10" t="s">
        <v>18</v>
      </c>
      <c r="B16" s="11">
        <v>22</v>
      </c>
      <c r="C16" s="11">
        <v>29</v>
      </c>
      <c r="D16"/>
    </row>
    <row r="17" spans="1:4">
      <c r="A17" s="10" t="s">
        <v>19</v>
      </c>
      <c r="B17" s="11">
        <v>11</v>
      </c>
      <c r="C17" s="11">
        <v>11</v>
      </c>
      <c r="D17"/>
    </row>
    <row r="18" spans="1:4">
      <c r="A18" s="10" t="s">
        <v>20</v>
      </c>
      <c r="B18" s="11">
        <v>31</v>
      </c>
      <c r="C18" s="11">
        <v>28</v>
      </c>
      <c r="D18"/>
    </row>
    <row r="19" spans="1:4">
      <c r="A19" s="10" t="s">
        <v>21</v>
      </c>
      <c r="B19" s="11">
        <v>33</v>
      </c>
      <c r="C19" s="11">
        <v>16</v>
      </c>
      <c r="D19"/>
    </row>
    <row r="20" spans="1:4">
      <c r="A20" s="10" t="s">
        <v>22</v>
      </c>
      <c r="B20" s="11">
        <v>23</v>
      </c>
      <c r="C20" s="11">
        <v>10</v>
      </c>
      <c r="D20"/>
    </row>
    <row r="21" spans="1:4">
      <c r="A21" s="10" t="s">
        <v>23</v>
      </c>
      <c r="B21" s="11">
        <v>1</v>
      </c>
      <c r="C21" s="11">
        <v>1</v>
      </c>
      <c r="D21"/>
    </row>
    <row r="22" spans="1:4">
      <c r="A22" s="10" t="s">
        <v>44</v>
      </c>
      <c r="B22" s="11">
        <v>2</v>
      </c>
      <c r="C22" s="11">
        <v>17</v>
      </c>
      <c r="D22"/>
    </row>
    <row r="23" spans="1:4">
      <c r="A23" s="10" t="s">
        <v>24</v>
      </c>
      <c r="B23" s="11">
        <v>29</v>
      </c>
      <c r="C23" s="11">
        <v>20</v>
      </c>
      <c r="D23"/>
    </row>
    <row r="24" spans="1:4">
      <c r="A24" s="10" t="s">
        <v>25</v>
      </c>
      <c r="B24" s="11">
        <v>12</v>
      </c>
      <c r="C24" s="11">
        <v>21</v>
      </c>
      <c r="D24"/>
    </row>
    <row r="25" spans="1:4">
      <c r="A25" s="10" t="s">
        <v>26</v>
      </c>
      <c r="B25" s="11">
        <v>16</v>
      </c>
      <c r="C25" s="11">
        <v>7</v>
      </c>
      <c r="D25"/>
    </row>
    <row r="26" spans="1:4">
      <c r="A26" s="10" t="s">
        <v>27</v>
      </c>
      <c r="B26" s="11">
        <v>24</v>
      </c>
      <c r="C26" s="11">
        <v>6</v>
      </c>
      <c r="D26"/>
    </row>
    <row r="27" spans="1:4">
      <c r="A27" s="10" t="s">
        <v>28</v>
      </c>
      <c r="B27" s="11">
        <v>3</v>
      </c>
      <c r="C27" s="11">
        <v>9</v>
      </c>
      <c r="D27"/>
    </row>
    <row r="28" spans="1:4">
      <c r="A28" s="10" t="s">
        <v>29</v>
      </c>
      <c r="B28" s="11">
        <v>15</v>
      </c>
      <c r="C28" s="11">
        <v>20</v>
      </c>
      <c r="D28"/>
    </row>
    <row r="29" spans="1:4">
      <c r="A29" s="10" t="s">
        <v>45</v>
      </c>
      <c r="B29" s="11">
        <v>9</v>
      </c>
      <c r="C29" s="11">
        <v>31</v>
      </c>
      <c r="D29"/>
    </row>
    <row r="30" spans="1:4">
      <c r="A30" s="10" t="s">
        <v>30</v>
      </c>
      <c r="B30" s="11">
        <v>26</v>
      </c>
      <c r="C30" s="11">
        <v>8</v>
      </c>
      <c r="D30"/>
    </row>
    <row r="31" spans="1:4">
      <c r="A31" s="10" t="s">
        <v>46</v>
      </c>
      <c r="B31" s="11">
        <v>7</v>
      </c>
      <c r="C31" s="11">
        <v>2</v>
      </c>
      <c r="D31"/>
    </row>
    <row r="32" spans="1:4">
      <c r="A32" s="10" t="s">
        <v>31</v>
      </c>
      <c r="B32" s="11">
        <v>21</v>
      </c>
      <c r="C32" s="11">
        <v>26</v>
      </c>
      <c r="D32"/>
    </row>
    <row r="33" spans="1:4">
      <c r="A33" s="10" t="s">
        <v>32</v>
      </c>
      <c r="B33" s="11">
        <v>34</v>
      </c>
      <c r="C33" s="11">
        <v>22</v>
      </c>
      <c r="D33"/>
    </row>
    <row r="34" spans="1:4">
      <c r="A34" s="10" t="s">
        <v>33</v>
      </c>
      <c r="B34" s="11">
        <v>13</v>
      </c>
      <c r="C34" s="11">
        <v>27</v>
      </c>
      <c r="D34"/>
    </row>
    <row r="35" spans="1:4">
      <c r="A35" s="10" t="s">
        <v>34</v>
      </c>
      <c r="B35" s="11">
        <v>14</v>
      </c>
      <c r="C35" s="11">
        <v>3</v>
      </c>
      <c r="D35"/>
    </row>
    <row r="36" spans="1:4">
      <c r="A36" s="10" t="s">
        <v>35</v>
      </c>
      <c r="B36" s="11">
        <v>4</v>
      </c>
      <c r="C36" s="11">
        <v>13</v>
      </c>
      <c r="D36"/>
    </row>
    <row r="37" spans="1:4">
      <c r="A37" s="10" t="s">
        <v>36</v>
      </c>
      <c r="B37" s="11">
        <v>30</v>
      </c>
      <c r="C37" s="11">
        <v>25</v>
      </c>
      <c r="D37"/>
    </row>
    <row r="38" spans="1:4">
      <c r="A38" s="10" t="s">
        <v>37</v>
      </c>
      <c r="B38" s="11">
        <v>17</v>
      </c>
      <c r="C38" s="11">
        <v>12</v>
      </c>
      <c r="D38"/>
    </row>
    <row r="39" spans="1:4">
      <c r="A39" s="14" t="s">
        <v>48</v>
      </c>
      <c r="B39" s="15">
        <v>641</v>
      </c>
      <c r="C39" s="15">
        <v>607</v>
      </c>
      <c r="D39"/>
    </row>
    <row r="182" spans="1:3">
      <c r="A182"/>
      <c r="B182"/>
      <c r="C182"/>
    </row>
    <row r="183" spans="1:3">
      <c r="A183"/>
      <c r="B183"/>
      <c r="C183"/>
    </row>
    <row r="184" spans="1:3">
      <c r="A184"/>
      <c r="B184"/>
      <c r="C184"/>
    </row>
    <row r="185" spans="1:3">
      <c r="A185"/>
      <c r="B185"/>
      <c r="C185"/>
    </row>
    <row r="186" spans="1:3">
      <c r="A186"/>
      <c r="B186"/>
      <c r="C186"/>
    </row>
    <row r="187" spans="1:3">
      <c r="A187"/>
      <c r="B187"/>
      <c r="C187"/>
    </row>
    <row r="188" spans="1:3">
      <c r="A188"/>
      <c r="B188"/>
      <c r="C188"/>
    </row>
    <row r="189" spans="1:3">
      <c r="A189"/>
      <c r="B189"/>
      <c r="C189"/>
    </row>
    <row r="190" spans="1:3">
      <c r="A190"/>
      <c r="B190"/>
      <c r="C190"/>
    </row>
    <row r="191" spans="1:3">
      <c r="A191"/>
      <c r="B191"/>
      <c r="C191"/>
    </row>
    <row r="192" spans="1:3">
      <c r="A192"/>
      <c r="B192"/>
      <c r="C192"/>
    </row>
    <row r="193" spans="1:3">
      <c r="A193"/>
      <c r="B193"/>
      <c r="C193"/>
    </row>
    <row r="194" spans="1:3">
      <c r="A194"/>
      <c r="B194"/>
      <c r="C194"/>
    </row>
    <row r="195" spans="1:3">
      <c r="A195"/>
      <c r="B195"/>
      <c r="C195"/>
    </row>
    <row r="196" spans="1:3">
      <c r="A196"/>
      <c r="B196"/>
      <c r="C196"/>
    </row>
    <row r="197" spans="1:3">
      <c r="A197"/>
      <c r="B197"/>
      <c r="C197"/>
    </row>
    <row r="198" spans="1:3">
      <c r="A198"/>
      <c r="B198"/>
      <c r="C198"/>
    </row>
    <row r="199" spans="1:3">
      <c r="A199"/>
      <c r="B199"/>
      <c r="C199"/>
    </row>
    <row r="200" spans="1:3">
      <c r="A200"/>
      <c r="B200"/>
      <c r="C200"/>
    </row>
    <row r="201" spans="1:3">
      <c r="A201"/>
      <c r="B201"/>
      <c r="C201"/>
    </row>
    <row r="202" spans="1:3">
      <c r="A202"/>
      <c r="B202"/>
      <c r="C202"/>
    </row>
    <row r="203" spans="1:3">
      <c r="A203"/>
      <c r="B203"/>
      <c r="C203"/>
    </row>
    <row r="204" spans="1:3">
      <c r="A204"/>
      <c r="B204"/>
      <c r="C204"/>
    </row>
    <row r="205" spans="1:3">
      <c r="A205"/>
      <c r="B205"/>
      <c r="C205"/>
    </row>
    <row r="206" spans="1:3">
      <c r="A206"/>
      <c r="B206"/>
      <c r="C206"/>
    </row>
    <row r="207" spans="1:3">
      <c r="A207"/>
      <c r="B207"/>
      <c r="C207"/>
    </row>
    <row r="208" spans="1:3">
      <c r="A208"/>
      <c r="B208"/>
      <c r="C208"/>
    </row>
    <row r="209" spans="1:3">
      <c r="A209"/>
      <c r="B209"/>
      <c r="C209"/>
    </row>
    <row r="210" spans="1:3">
      <c r="A210"/>
      <c r="B210"/>
      <c r="C210"/>
    </row>
    <row r="211" spans="1:3">
      <c r="A211"/>
      <c r="B211"/>
      <c r="C211"/>
    </row>
    <row r="212" spans="1:3">
      <c r="A212"/>
      <c r="B212"/>
      <c r="C212"/>
    </row>
    <row r="213" spans="1:3">
      <c r="A213"/>
      <c r="B213"/>
      <c r="C213"/>
    </row>
    <row r="214" spans="1:3">
      <c r="A214"/>
      <c r="B214"/>
      <c r="C214"/>
    </row>
    <row r="215" spans="1:3">
      <c r="A215"/>
      <c r="B215"/>
      <c r="C215"/>
    </row>
    <row r="216" spans="1:3">
      <c r="A216"/>
      <c r="B216"/>
      <c r="C216"/>
    </row>
    <row r="217" spans="1:3">
      <c r="A217"/>
      <c r="B217"/>
      <c r="C217"/>
    </row>
    <row r="218" spans="1:3">
      <c r="A218"/>
      <c r="B218"/>
      <c r="C218"/>
    </row>
    <row r="219" spans="1:3">
      <c r="A219"/>
      <c r="B219"/>
      <c r="C219"/>
    </row>
    <row r="220" spans="1:3">
      <c r="A220"/>
      <c r="B220"/>
      <c r="C220"/>
    </row>
    <row r="221" spans="1:3">
      <c r="A221"/>
      <c r="B221"/>
      <c r="C221"/>
    </row>
    <row r="222" spans="1:3">
      <c r="A222"/>
      <c r="B222"/>
      <c r="C222"/>
    </row>
    <row r="223" spans="1:3">
      <c r="A223"/>
      <c r="B223"/>
      <c r="C223"/>
    </row>
    <row r="224" spans="1:3">
      <c r="A224"/>
      <c r="B224"/>
      <c r="C224"/>
    </row>
    <row r="225" spans="1:3">
      <c r="A225"/>
      <c r="B225"/>
      <c r="C225"/>
    </row>
    <row r="226" spans="1:3">
      <c r="A226"/>
      <c r="B226"/>
      <c r="C226"/>
    </row>
    <row r="227" spans="1:3">
      <c r="A227"/>
      <c r="B227"/>
      <c r="C227"/>
    </row>
    <row r="228" spans="1:3">
      <c r="A228"/>
      <c r="B228"/>
      <c r="C228"/>
    </row>
    <row r="229" spans="1:3">
      <c r="A229"/>
      <c r="B229"/>
      <c r="C229"/>
    </row>
    <row r="230" spans="1:3">
      <c r="A230"/>
      <c r="B230"/>
      <c r="C230"/>
    </row>
    <row r="231" spans="1:3">
      <c r="A231"/>
      <c r="B231"/>
      <c r="C231"/>
    </row>
    <row r="232" spans="1:3">
      <c r="A232"/>
      <c r="B232"/>
      <c r="C232"/>
    </row>
    <row r="233" spans="1:3">
      <c r="A233"/>
      <c r="B233"/>
      <c r="C233"/>
    </row>
    <row r="234" spans="1:3">
      <c r="A234"/>
      <c r="B234"/>
      <c r="C234"/>
    </row>
    <row r="235" spans="1:3">
      <c r="A235"/>
      <c r="B235"/>
      <c r="C235"/>
    </row>
    <row r="236" spans="1:3">
      <c r="A236"/>
      <c r="B236"/>
      <c r="C236"/>
    </row>
    <row r="237" spans="1:3">
      <c r="A237"/>
      <c r="B237"/>
      <c r="C237"/>
    </row>
    <row r="238" spans="1:3">
      <c r="A238"/>
      <c r="B238"/>
      <c r="C238"/>
    </row>
    <row r="239" spans="1:3">
      <c r="A239"/>
      <c r="B239"/>
      <c r="C239"/>
    </row>
    <row r="240" spans="1:3">
      <c r="A240"/>
      <c r="B240"/>
      <c r="C240"/>
    </row>
    <row r="241" spans="1:3">
      <c r="A241"/>
      <c r="B241"/>
      <c r="C241"/>
    </row>
    <row r="242" spans="1:3">
      <c r="A242"/>
      <c r="B242"/>
      <c r="C242"/>
    </row>
    <row r="243" spans="1:3">
      <c r="A243"/>
      <c r="B243"/>
      <c r="C243"/>
    </row>
    <row r="244" spans="1:3">
      <c r="A244"/>
      <c r="B244"/>
      <c r="C244"/>
    </row>
    <row r="245" spans="1:3">
      <c r="A245"/>
      <c r="B245"/>
      <c r="C245"/>
    </row>
    <row r="246" spans="1:3">
      <c r="A246"/>
      <c r="B246"/>
      <c r="C246"/>
    </row>
    <row r="247" spans="1:3">
      <c r="A247"/>
      <c r="B247"/>
      <c r="C247"/>
    </row>
    <row r="248" spans="1:3">
      <c r="A248"/>
      <c r="B248"/>
      <c r="C248"/>
    </row>
    <row r="249" spans="1:3">
      <c r="A249"/>
      <c r="B249"/>
      <c r="C249"/>
    </row>
    <row r="250" spans="1:3">
      <c r="A250"/>
      <c r="B250"/>
      <c r="C250"/>
    </row>
    <row r="251" spans="1:3">
      <c r="A251"/>
      <c r="B251"/>
      <c r="C251"/>
    </row>
    <row r="252" spans="1:3">
      <c r="A252"/>
      <c r="B252"/>
      <c r="C252"/>
    </row>
    <row r="253" spans="1:3">
      <c r="A253"/>
      <c r="B253"/>
      <c r="C253"/>
    </row>
    <row r="254" spans="1:3">
      <c r="A254"/>
      <c r="B254"/>
      <c r="C254"/>
    </row>
    <row r="255" spans="1:3">
      <c r="A255"/>
      <c r="B255"/>
      <c r="C255"/>
    </row>
    <row r="256" spans="1:3">
      <c r="A256"/>
      <c r="B256"/>
      <c r="C256"/>
    </row>
    <row r="257" spans="1:3">
      <c r="A257"/>
      <c r="B257"/>
      <c r="C257"/>
    </row>
    <row r="258" spans="1:3">
      <c r="A258"/>
      <c r="B258"/>
      <c r="C258"/>
    </row>
    <row r="259" spans="1:3">
      <c r="A259"/>
      <c r="B259"/>
      <c r="C259"/>
    </row>
    <row r="260" spans="1:3">
      <c r="A260"/>
      <c r="B260"/>
      <c r="C260"/>
    </row>
    <row r="261" spans="1:3">
      <c r="A261"/>
      <c r="B261"/>
      <c r="C261"/>
    </row>
    <row r="262" spans="1:3">
      <c r="A262"/>
      <c r="B262"/>
      <c r="C262"/>
    </row>
    <row r="263" spans="1:3">
      <c r="A263"/>
      <c r="B263"/>
      <c r="C263"/>
    </row>
    <row r="264" spans="1:3">
      <c r="A264"/>
      <c r="B264"/>
      <c r="C264"/>
    </row>
    <row r="265" spans="1:3">
      <c r="A265"/>
      <c r="B265"/>
      <c r="C265"/>
    </row>
    <row r="266" spans="1:3">
      <c r="A266"/>
      <c r="B266"/>
      <c r="C266"/>
    </row>
    <row r="267" spans="1:3">
      <c r="A267"/>
      <c r="B267"/>
      <c r="C267"/>
    </row>
    <row r="268" spans="1:3">
      <c r="A268"/>
      <c r="B268"/>
      <c r="C268"/>
    </row>
    <row r="269" spans="1:3">
      <c r="A269"/>
      <c r="B269"/>
      <c r="C269"/>
    </row>
    <row r="270" spans="1:3">
      <c r="A270"/>
      <c r="B270"/>
      <c r="C270"/>
    </row>
    <row r="271" spans="1:3">
      <c r="A271"/>
      <c r="B271"/>
      <c r="C271"/>
    </row>
    <row r="272" spans="1:3">
      <c r="A272"/>
      <c r="B272"/>
      <c r="C272"/>
    </row>
    <row r="273" spans="1:3">
      <c r="A273"/>
      <c r="B273"/>
      <c r="C273"/>
    </row>
    <row r="274" spans="1:3">
      <c r="A274"/>
      <c r="B274"/>
      <c r="C274"/>
    </row>
    <row r="275" spans="1:3">
      <c r="A275"/>
      <c r="B275"/>
      <c r="C275"/>
    </row>
    <row r="276" spans="1:3">
      <c r="A276"/>
      <c r="B276"/>
      <c r="C276"/>
    </row>
    <row r="277" spans="1:3">
      <c r="A277"/>
      <c r="B277"/>
      <c r="C277"/>
    </row>
    <row r="278" spans="1:3">
      <c r="A278"/>
      <c r="B278"/>
      <c r="C278"/>
    </row>
    <row r="279" spans="1:3">
      <c r="A279"/>
      <c r="B279"/>
      <c r="C279"/>
    </row>
    <row r="280" spans="1:3">
      <c r="A280"/>
      <c r="B280"/>
      <c r="C280"/>
    </row>
    <row r="281" spans="1:3">
      <c r="A281"/>
      <c r="B281"/>
      <c r="C281"/>
    </row>
    <row r="282" spans="1:3">
      <c r="A282"/>
      <c r="B282"/>
      <c r="C282"/>
    </row>
    <row r="283" spans="1:3">
      <c r="A283"/>
      <c r="B283"/>
      <c r="C283"/>
    </row>
    <row r="284" spans="1:3">
      <c r="A284"/>
      <c r="B284"/>
      <c r="C284"/>
    </row>
    <row r="285" spans="1:3">
      <c r="A285"/>
      <c r="B285"/>
      <c r="C285"/>
    </row>
    <row r="286" spans="1:3">
      <c r="A286"/>
      <c r="B286"/>
      <c r="C286"/>
    </row>
    <row r="287" spans="1:3">
      <c r="A287"/>
      <c r="B287"/>
      <c r="C287"/>
    </row>
    <row r="288" spans="1:3">
      <c r="A288"/>
      <c r="B288"/>
      <c r="C288"/>
    </row>
    <row r="289" spans="1:3">
      <c r="A289"/>
      <c r="B289"/>
      <c r="C289"/>
    </row>
    <row r="290" spans="1:3">
      <c r="A290"/>
      <c r="B290"/>
      <c r="C290"/>
    </row>
    <row r="291" spans="1:3">
      <c r="A291"/>
      <c r="B291"/>
      <c r="C291"/>
    </row>
    <row r="292" spans="1:3">
      <c r="A292"/>
      <c r="B292"/>
      <c r="C292"/>
    </row>
    <row r="293" spans="1:3">
      <c r="A293"/>
      <c r="B293"/>
      <c r="C293"/>
    </row>
    <row r="294" spans="1:3">
      <c r="A294"/>
      <c r="B294"/>
      <c r="C294"/>
    </row>
    <row r="295" spans="1:3">
      <c r="A295"/>
      <c r="B295"/>
      <c r="C295"/>
    </row>
    <row r="296" spans="1:3">
      <c r="A296"/>
      <c r="B296"/>
      <c r="C296"/>
    </row>
    <row r="297" spans="1:3">
      <c r="A297"/>
      <c r="B297"/>
      <c r="C297"/>
    </row>
    <row r="298" spans="1:3">
      <c r="A298"/>
      <c r="B298"/>
      <c r="C298"/>
    </row>
    <row r="299" spans="1:3">
      <c r="A299"/>
      <c r="B299"/>
      <c r="C299"/>
    </row>
    <row r="300" spans="1:3">
      <c r="A300"/>
      <c r="B300"/>
      <c r="C300"/>
    </row>
    <row r="301" spans="1:3">
      <c r="A301"/>
      <c r="B301"/>
      <c r="C301"/>
    </row>
    <row r="302" spans="1:3">
      <c r="A302"/>
      <c r="B302"/>
      <c r="C302"/>
    </row>
    <row r="303" spans="1:3">
      <c r="A303"/>
      <c r="B303"/>
      <c r="C303"/>
    </row>
    <row r="304" spans="1:3">
      <c r="A304"/>
      <c r="B304"/>
      <c r="C304"/>
    </row>
    <row r="305" spans="1:3">
      <c r="A305"/>
      <c r="B305"/>
      <c r="C305"/>
    </row>
    <row r="306" spans="1:3">
      <c r="A306"/>
      <c r="B306"/>
      <c r="C306"/>
    </row>
    <row r="307" spans="1:3">
      <c r="A307"/>
      <c r="B307"/>
      <c r="C307"/>
    </row>
    <row r="308" spans="1:3">
      <c r="A308"/>
      <c r="B308"/>
      <c r="C308"/>
    </row>
    <row r="309" spans="1:3">
      <c r="A309"/>
      <c r="B309"/>
      <c r="C309"/>
    </row>
    <row r="310" spans="1:3">
      <c r="A310"/>
      <c r="B310"/>
      <c r="C310"/>
    </row>
    <row r="311" spans="1:3">
      <c r="A311"/>
      <c r="B311"/>
      <c r="C311"/>
    </row>
    <row r="312" spans="1:3">
      <c r="A312"/>
      <c r="B312"/>
      <c r="C312"/>
    </row>
    <row r="313" spans="1:3">
      <c r="A313"/>
      <c r="B313"/>
      <c r="C313"/>
    </row>
    <row r="314" spans="1:3">
      <c r="A314"/>
      <c r="B314"/>
      <c r="C314"/>
    </row>
    <row r="315" spans="1:3">
      <c r="A315"/>
      <c r="B315"/>
      <c r="C315"/>
    </row>
    <row r="316" spans="1:3">
      <c r="A316"/>
      <c r="B316"/>
      <c r="C316"/>
    </row>
    <row r="317" spans="1:3">
      <c r="A317"/>
      <c r="B317"/>
      <c r="C317"/>
    </row>
    <row r="318" spans="1:3">
      <c r="A318"/>
      <c r="B318"/>
      <c r="C318"/>
    </row>
    <row r="319" spans="1:3">
      <c r="A319"/>
      <c r="B319"/>
      <c r="C319"/>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3:C39"/>
  <sheetViews>
    <sheetView topLeftCell="A34" zoomScale="89" zoomScaleNormal="89" workbookViewId="0">
      <selection activeCell="F25" sqref="F25"/>
    </sheetView>
  </sheetViews>
  <sheetFormatPr defaultColWidth="8.85546875" defaultRowHeight="15"/>
  <cols>
    <col min="1" max="1" width="16.42578125" style="20" bestFit="1" customWidth="1"/>
    <col min="2" max="2" width="11.35546875" style="20" bestFit="1" customWidth="1"/>
    <col min="3" max="3" width="10.5703125" style="20" bestFit="1" customWidth="1"/>
    <col min="4" max="16384" width="8.85546875" style="20"/>
  </cols>
  <sheetData>
    <row r="3" spans="1:3">
      <c r="A3" s="6" t="s">
        <v>1</v>
      </c>
      <c r="B3" s="6" t="s">
        <v>107</v>
      </c>
      <c r="C3" s="6" t="s">
        <v>106</v>
      </c>
    </row>
    <row r="4" spans="1:3">
      <c r="A4" s="10" t="s">
        <v>40</v>
      </c>
      <c r="B4" s="11">
        <v>7</v>
      </c>
      <c r="C4" s="11">
        <v>32</v>
      </c>
    </row>
    <row r="5" spans="1:3">
      <c r="A5" s="10" t="s">
        <v>11</v>
      </c>
      <c r="B5" s="11">
        <v>15.5</v>
      </c>
      <c r="C5" s="11">
        <v>30</v>
      </c>
    </row>
    <row r="6" spans="1:3">
      <c r="A6" s="10" t="s">
        <v>12</v>
      </c>
      <c r="B6" s="11">
        <v>2</v>
      </c>
      <c r="C6" s="11">
        <v>5</v>
      </c>
    </row>
    <row r="7" spans="1:3">
      <c r="A7" s="10" t="s">
        <v>13</v>
      </c>
      <c r="B7" s="11">
        <v>9</v>
      </c>
      <c r="C7" s="11">
        <v>20</v>
      </c>
    </row>
    <row r="8" spans="1:3">
      <c r="A8" s="10" t="s">
        <v>14</v>
      </c>
      <c r="B8" s="11">
        <v>31.5</v>
      </c>
      <c r="C8" s="11">
        <v>6</v>
      </c>
    </row>
    <row r="9" spans="1:3">
      <c r="A9" s="10" t="s">
        <v>41</v>
      </c>
      <c r="B9" s="11">
        <v>4.5</v>
      </c>
      <c r="C9" s="11">
        <v>19</v>
      </c>
    </row>
    <row r="10" spans="1:3">
      <c r="A10" s="10" t="s">
        <v>15</v>
      </c>
      <c r="B10" s="11">
        <v>28</v>
      </c>
      <c r="C10" s="11">
        <v>10</v>
      </c>
    </row>
    <row r="11" spans="1:3">
      <c r="A11" s="10" t="s">
        <v>42</v>
      </c>
      <c r="B11" s="11">
        <v>34</v>
      </c>
      <c r="C11" s="11">
        <v>1</v>
      </c>
    </row>
    <row r="12" spans="1:3">
      <c r="A12" s="10" t="s">
        <v>43</v>
      </c>
      <c r="B12" s="11">
        <v>35</v>
      </c>
      <c r="C12" s="11">
        <v>2</v>
      </c>
    </row>
    <row r="13" spans="1:3">
      <c r="A13" s="10" t="s">
        <v>16</v>
      </c>
      <c r="B13" s="11">
        <v>19</v>
      </c>
      <c r="C13" s="11">
        <v>31</v>
      </c>
    </row>
    <row r="14" spans="1:3">
      <c r="A14" s="10" t="s">
        <v>17</v>
      </c>
      <c r="B14" s="11">
        <v>31.5</v>
      </c>
      <c r="C14" s="11">
        <v>17</v>
      </c>
    </row>
    <row r="15" spans="1:3">
      <c r="A15" s="10" t="s">
        <v>18</v>
      </c>
      <c r="B15" s="11">
        <v>11</v>
      </c>
      <c r="C15" s="11">
        <v>16</v>
      </c>
    </row>
    <row r="16" spans="1:3">
      <c r="A16" s="10" t="s">
        <v>19</v>
      </c>
      <c r="B16" s="11">
        <v>27</v>
      </c>
      <c r="C16" s="11">
        <v>29.5</v>
      </c>
    </row>
    <row r="17" spans="1:3">
      <c r="A17" s="10" t="s">
        <v>20</v>
      </c>
      <c r="B17" s="11">
        <v>33</v>
      </c>
      <c r="C17" s="11">
        <v>8</v>
      </c>
    </row>
    <row r="18" spans="1:3">
      <c r="A18" s="10" t="s">
        <v>21</v>
      </c>
      <c r="B18" s="11">
        <v>25</v>
      </c>
      <c r="C18" s="11">
        <v>11</v>
      </c>
    </row>
    <row r="19" spans="1:3">
      <c r="A19" s="10" t="s">
        <v>22</v>
      </c>
      <c r="B19" s="11">
        <v>21</v>
      </c>
      <c r="C19" s="11">
        <v>23.5</v>
      </c>
    </row>
    <row r="20" spans="1:3">
      <c r="A20" s="10" t="s">
        <v>23</v>
      </c>
      <c r="B20" s="11">
        <v>8</v>
      </c>
      <c r="C20" s="11">
        <v>34</v>
      </c>
    </row>
    <row r="21" spans="1:3">
      <c r="A21" s="10" t="s">
        <v>44</v>
      </c>
      <c r="B21" s="11">
        <v>32</v>
      </c>
      <c r="C21" s="11">
        <v>33</v>
      </c>
    </row>
    <row r="22" spans="1:3">
      <c r="A22" s="10" t="s">
        <v>24</v>
      </c>
      <c r="B22" s="11">
        <v>19</v>
      </c>
      <c r="C22" s="11">
        <v>14</v>
      </c>
    </row>
    <row r="23" spans="1:3">
      <c r="A23" s="10" t="s">
        <v>25</v>
      </c>
      <c r="B23" s="11">
        <v>25</v>
      </c>
      <c r="C23" s="11">
        <v>21</v>
      </c>
    </row>
    <row r="24" spans="1:3">
      <c r="A24" s="10" t="s">
        <v>26</v>
      </c>
      <c r="B24" s="11">
        <v>25</v>
      </c>
      <c r="C24" s="11">
        <v>7</v>
      </c>
    </row>
    <row r="25" spans="1:3">
      <c r="A25" s="10" t="s">
        <v>27</v>
      </c>
      <c r="B25" s="11">
        <v>12</v>
      </c>
      <c r="C25" s="11">
        <v>4</v>
      </c>
    </row>
    <row r="26" spans="1:3">
      <c r="A26" s="10" t="s">
        <v>28</v>
      </c>
      <c r="B26" s="11">
        <v>4.5</v>
      </c>
      <c r="C26" s="11">
        <v>9</v>
      </c>
    </row>
    <row r="27" spans="1:3">
      <c r="A27" s="10" t="s">
        <v>29</v>
      </c>
      <c r="B27" s="11">
        <v>6</v>
      </c>
      <c r="C27" s="11">
        <v>35</v>
      </c>
    </row>
    <row r="28" spans="1:3">
      <c r="A28" s="10" t="s">
        <v>45</v>
      </c>
      <c r="B28" s="11">
        <v>1</v>
      </c>
      <c r="C28" s="11">
        <v>13</v>
      </c>
    </row>
    <row r="29" spans="1:3">
      <c r="A29" s="10" t="s">
        <v>30</v>
      </c>
      <c r="B29" s="11">
        <v>25</v>
      </c>
      <c r="C29" s="11">
        <v>25</v>
      </c>
    </row>
    <row r="30" spans="1:3">
      <c r="A30" s="10" t="s">
        <v>46</v>
      </c>
      <c r="B30" s="11">
        <v>5</v>
      </c>
      <c r="C30" s="11">
        <v>3</v>
      </c>
    </row>
    <row r="31" spans="1:3">
      <c r="A31" s="10" t="s">
        <v>31</v>
      </c>
      <c r="B31" s="11">
        <v>10</v>
      </c>
      <c r="C31" s="11">
        <v>26</v>
      </c>
    </row>
    <row r="32" spans="1:3">
      <c r="A32" s="10" t="s">
        <v>32</v>
      </c>
      <c r="B32" s="11">
        <v>25</v>
      </c>
      <c r="C32" s="11">
        <v>12</v>
      </c>
    </row>
    <row r="33" spans="1:3">
      <c r="A33" s="10" t="s">
        <v>33</v>
      </c>
      <c r="B33" s="11">
        <v>15.5</v>
      </c>
      <c r="C33" s="11">
        <v>29.5</v>
      </c>
    </row>
    <row r="34" spans="1:3">
      <c r="A34" s="10" t="s">
        <v>34</v>
      </c>
      <c r="B34" s="11">
        <v>20</v>
      </c>
      <c r="C34" s="11">
        <v>23.5</v>
      </c>
    </row>
    <row r="35" spans="1:3">
      <c r="A35" s="10" t="s">
        <v>35</v>
      </c>
      <c r="B35" s="11">
        <v>19</v>
      </c>
      <c r="C35" s="11">
        <v>24</v>
      </c>
    </row>
    <row r="36" spans="1:3">
      <c r="A36" s="10" t="s">
        <v>36</v>
      </c>
      <c r="B36" s="11">
        <v>16</v>
      </c>
      <c r="C36" s="11">
        <v>15</v>
      </c>
    </row>
    <row r="37" spans="1:3">
      <c r="A37" s="10" t="s">
        <v>37</v>
      </c>
      <c r="B37" s="11">
        <v>29</v>
      </c>
      <c r="C37" s="11">
        <v>18</v>
      </c>
    </row>
    <row r="38" spans="1:3">
      <c r="A38" s="10" t="s">
        <v>38</v>
      </c>
      <c r="B38" s="11">
        <v>13</v>
      </c>
      <c r="C38" s="11">
        <v>27</v>
      </c>
    </row>
    <row r="39" spans="1:3">
      <c r="A39" s="14" t="s">
        <v>48</v>
      </c>
      <c r="B39" s="15">
        <v>644</v>
      </c>
      <c r="C39" s="15">
        <v>634</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865E8C-2EDE-456C-9022-96EBF3888158}">
  <dimension ref="A3:C5"/>
  <sheetViews>
    <sheetView workbookViewId="0">
      <selection activeCell="I20" sqref="I20"/>
    </sheetView>
  </sheetViews>
  <sheetFormatPr defaultRowHeight="15"/>
  <cols>
    <col min="1" max="1" width="16.7109375" bestFit="1" customWidth="1"/>
    <col min="2" max="3" width="18.42578125" bestFit="1" customWidth="1"/>
  </cols>
  <sheetData>
    <row r="3" spans="1:3">
      <c r="A3" s="58" t="s">
        <v>47</v>
      </c>
      <c r="B3" t="s">
        <v>126</v>
      </c>
      <c r="C3" t="s">
        <v>127</v>
      </c>
    </row>
    <row r="4" spans="1:3">
      <c r="A4" s="59" t="s">
        <v>12</v>
      </c>
      <c r="B4" s="60">
        <v>893</v>
      </c>
      <c r="C4" s="60">
        <v>938</v>
      </c>
    </row>
    <row r="5" spans="1:3">
      <c r="A5" s="59" t="s">
        <v>48</v>
      </c>
      <c r="B5" s="60">
        <v>893</v>
      </c>
      <c r="C5" s="60">
        <v>938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C2D81-6A3D-4615-98E5-7B0E2AAA22F8}">
  <dimension ref="A3:E9"/>
  <sheetViews>
    <sheetView workbookViewId="0">
      <selection activeCell="A4" sqref="A4"/>
    </sheetView>
  </sheetViews>
  <sheetFormatPr defaultRowHeight="15"/>
  <cols>
    <col min="1" max="1" width="14.0703125" bestFit="1" customWidth="1"/>
    <col min="2" max="2" width="18.140625" bestFit="1" customWidth="1"/>
    <col min="4" max="4" width="14.0703125" bestFit="1" customWidth="1"/>
    <col min="5" max="5" width="18.140625" bestFit="1" customWidth="1"/>
  </cols>
  <sheetData>
    <row r="3" spans="1:5">
      <c r="A3" s="58" t="s">
        <v>47</v>
      </c>
      <c r="B3" t="s">
        <v>62</v>
      </c>
      <c r="D3" s="58" t="s">
        <v>47</v>
      </c>
      <c r="E3" t="s">
        <v>63</v>
      </c>
    </row>
    <row r="4" spans="1:5">
      <c r="A4" s="59" t="s">
        <v>11</v>
      </c>
      <c r="B4" s="60">
        <v>978</v>
      </c>
      <c r="D4" s="59" t="s">
        <v>11</v>
      </c>
      <c r="E4" s="60">
        <v>993</v>
      </c>
    </row>
    <row r="5" spans="1:5">
      <c r="A5" s="59" t="s">
        <v>15</v>
      </c>
      <c r="B5" s="60">
        <v>989</v>
      </c>
      <c r="D5" s="59" t="s">
        <v>15</v>
      </c>
      <c r="E5" s="60">
        <v>991</v>
      </c>
    </row>
    <row r="6" spans="1:5">
      <c r="A6" s="59" t="s">
        <v>23</v>
      </c>
      <c r="B6" s="60">
        <v>1058</v>
      </c>
      <c r="D6" s="59" t="s">
        <v>23</v>
      </c>
      <c r="E6" s="60">
        <v>1084</v>
      </c>
    </row>
    <row r="7" spans="1:5">
      <c r="A7" s="59" t="s">
        <v>46</v>
      </c>
      <c r="B7" s="60">
        <v>1001</v>
      </c>
      <c r="D7" s="59" t="s">
        <v>46</v>
      </c>
      <c r="E7" s="60">
        <v>1037</v>
      </c>
    </row>
    <row r="8" spans="1:5">
      <c r="A8" s="59" t="s">
        <v>34</v>
      </c>
      <c r="B8" s="60">
        <v>987</v>
      </c>
      <c r="D8" s="59" t="s">
        <v>34</v>
      </c>
      <c r="E8" s="60">
        <v>996</v>
      </c>
    </row>
    <row r="9" spans="1:5">
      <c r="A9" s="59" t="s">
        <v>48</v>
      </c>
      <c r="B9" s="60">
        <v>5013</v>
      </c>
      <c r="D9" s="59" t="s">
        <v>48</v>
      </c>
      <c r="E9" s="60">
        <v>5101</v>
      </c>
    </row>
  </sheetData>
  <pageMargins left="0.7" right="0.7" top="0.75" bottom="0.75" header="0.3" footer="0.3"/>
  <pageSetup paperSize="9" orientation="portrait"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CF695-D240-40D2-9A15-F83C2DB542CD}">
  <dimension ref="A3:B26"/>
  <sheetViews>
    <sheetView topLeftCell="A2" workbookViewId="0">
      <selection activeCell="A3" sqref="A3"/>
    </sheetView>
  </sheetViews>
  <sheetFormatPr defaultRowHeight="15"/>
  <cols>
    <col min="1" max="1" width="15.640625" bestFit="1" customWidth="1"/>
    <col min="2" max="2" width="18.640625" bestFit="1" customWidth="1"/>
  </cols>
  <sheetData>
    <row r="3" spans="1:2">
      <c r="A3" s="58" t="s">
        <v>47</v>
      </c>
      <c r="B3" t="s">
        <v>126</v>
      </c>
    </row>
    <row r="4" spans="1:2">
      <c r="A4" s="59" t="s">
        <v>11</v>
      </c>
      <c r="B4" s="60">
        <v>978</v>
      </c>
    </row>
    <row r="5" spans="1:2">
      <c r="A5" s="59" t="s">
        <v>13</v>
      </c>
      <c r="B5" s="60">
        <v>935</v>
      </c>
    </row>
    <row r="6" spans="1:2">
      <c r="A6" s="59" t="s">
        <v>15</v>
      </c>
      <c r="B6" s="60">
        <v>989</v>
      </c>
    </row>
    <row r="7" spans="1:2">
      <c r="A7" s="59" t="s">
        <v>16</v>
      </c>
      <c r="B7" s="60">
        <v>961</v>
      </c>
    </row>
    <row r="8" spans="1:2">
      <c r="A8" s="59" t="s">
        <v>17</v>
      </c>
      <c r="B8" s="60">
        <v>920</v>
      </c>
    </row>
    <row r="9" spans="1:2">
      <c r="A9" s="59" t="s">
        <v>19</v>
      </c>
      <c r="B9" s="60">
        <v>968</v>
      </c>
    </row>
    <row r="10" spans="1:2">
      <c r="A10" s="59" t="s">
        <v>9</v>
      </c>
      <c r="B10" s="60">
        <v>933</v>
      </c>
    </row>
    <row r="11" spans="1:2">
      <c r="A11" s="59" t="s">
        <v>21</v>
      </c>
      <c r="B11" s="60">
        <v>941</v>
      </c>
    </row>
    <row r="12" spans="1:2">
      <c r="A12" s="59" t="s">
        <v>22</v>
      </c>
      <c r="B12" s="60">
        <v>965</v>
      </c>
    </row>
    <row r="13" spans="1:2">
      <c r="A13" s="59" t="s">
        <v>23</v>
      </c>
      <c r="B13" s="60">
        <v>1058</v>
      </c>
    </row>
    <row r="14" spans="1:2">
      <c r="A14" s="59" t="s">
        <v>44</v>
      </c>
      <c r="B14" s="60">
        <v>948</v>
      </c>
    </row>
    <row r="15" spans="1:2">
      <c r="A15" s="59" t="s">
        <v>25</v>
      </c>
      <c r="B15" s="60">
        <v>922</v>
      </c>
    </row>
    <row r="16" spans="1:2">
      <c r="A16" s="59" t="s">
        <v>26</v>
      </c>
      <c r="B16" s="60">
        <v>978</v>
      </c>
    </row>
    <row r="17" spans="1:2">
      <c r="A17" s="59" t="s">
        <v>27</v>
      </c>
      <c r="B17" s="60">
        <v>972</v>
      </c>
    </row>
    <row r="18" spans="1:2">
      <c r="A18" s="59" t="s">
        <v>28</v>
      </c>
      <c r="B18" s="60">
        <v>935</v>
      </c>
    </row>
    <row r="19" spans="1:2">
      <c r="A19" s="59" t="s">
        <v>30</v>
      </c>
      <c r="B19" s="60">
        <v>972</v>
      </c>
    </row>
    <row r="20" spans="1:2">
      <c r="A20" s="59" t="s">
        <v>46</v>
      </c>
      <c r="B20" s="60">
        <v>1001</v>
      </c>
    </row>
    <row r="21" spans="1:2">
      <c r="A21" s="59" t="s">
        <v>32</v>
      </c>
      <c r="B21" s="60">
        <v>921</v>
      </c>
    </row>
    <row r="22" spans="1:2">
      <c r="A22" s="59" t="s">
        <v>34</v>
      </c>
      <c r="B22" s="60">
        <v>987</v>
      </c>
    </row>
    <row r="23" spans="1:2">
      <c r="A23" s="59" t="s">
        <v>35</v>
      </c>
      <c r="B23" s="60">
        <v>948</v>
      </c>
    </row>
    <row r="24" spans="1:2">
      <c r="A24" s="59" t="s">
        <v>37</v>
      </c>
      <c r="B24" s="60">
        <v>962</v>
      </c>
    </row>
    <row r="25" spans="1:2">
      <c r="A25" s="59" t="s">
        <v>38</v>
      </c>
      <c r="B25" s="60">
        <v>934</v>
      </c>
    </row>
    <row r="26" spans="1:2">
      <c r="A26" s="59" t="s">
        <v>48</v>
      </c>
      <c r="B26" s="60">
        <v>21128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77840-99D1-4CCD-B20E-31C7559A23FB}">
  <dimension ref="A3:B9"/>
  <sheetViews>
    <sheetView workbookViewId="0">
      <selection activeCell="A4" sqref="A4"/>
    </sheetView>
  </sheetViews>
  <sheetFormatPr defaultRowHeight="15"/>
  <cols>
    <col min="1" max="1" width="12.7109375" bestFit="1" customWidth="1"/>
    <col min="2" max="2" width="18.640625" bestFit="1" customWidth="1"/>
  </cols>
  <sheetData>
    <row r="3" spans="1:2">
      <c r="A3" s="58" t="s">
        <v>47</v>
      </c>
      <c r="B3" t="s">
        <v>127</v>
      </c>
    </row>
    <row r="4" spans="1:2">
      <c r="A4" s="59" t="s">
        <v>40</v>
      </c>
      <c r="B4" s="60">
        <v>876</v>
      </c>
    </row>
    <row r="5" spans="1:2">
      <c r="A5" s="59" t="s">
        <v>41</v>
      </c>
      <c r="B5" s="60">
        <v>818</v>
      </c>
    </row>
    <row r="6" spans="1:2">
      <c r="A6" s="59" t="s">
        <v>42</v>
      </c>
      <c r="B6" s="60">
        <v>774</v>
      </c>
    </row>
    <row r="7" spans="1:2">
      <c r="A7" s="59" t="s">
        <v>43</v>
      </c>
      <c r="B7" s="60">
        <v>618</v>
      </c>
    </row>
    <row r="8" spans="1:2">
      <c r="A8" s="59" t="s">
        <v>45</v>
      </c>
      <c r="B8" s="60">
        <v>868</v>
      </c>
    </row>
    <row r="9" spans="1:2">
      <c r="A9" s="59" t="s">
        <v>48</v>
      </c>
      <c r="B9" s="60">
        <v>3954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R395"/>
  <sheetViews>
    <sheetView topLeftCell="B27" zoomScale="101" zoomScaleNormal="55" workbookViewId="0">
      <selection activeCell="H47" sqref="H47"/>
    </sheetView>
  </sheetViews>
  <sheetFormatPr defaultRowHeight="15"/>
  <cols>
    <col min="1" max="1" width="15.5" customWidth="1"/>
    <col min="2" max="2" width="10.35546875" customWidth="1"/>
    <col min="3" max="3" width="17.0703125" customWidth="1"/>
    <col min="4" max="4" width="14.85546875" customWidth="1"/>
    <col min="5" max="5" width="14.5703125" customWidth="1"/>
    <col min="6" max="6" width="14.0703125" customWidth="1"/>
    <col min="7" max="7" width="14.35546875" customWidth="1"/>
    <col min="8" max="8" width="14.92578125" customWidth="1"/>
    <col min="9" max="9" width="13.5703125" customWidth="1"/>
  </cols>
  <sheetData>
    <row r="1" spans="1:44">
      <c r="A1" t="s">
        <v>0</v>
      </c>
      <c r="B1" t="s">
        <v>80</v>
      </c>
      <c r="C1" t="s">
        <v>1</v>
      </c>
      <c r="D1" t="s">
        <v>2</v>
      </c>
      <c r="E1" t="s">
        <v>3</v>
      </c>
      <c r="F1" t="s">
        <v>4</v>
      </c>
      <c r="G1" t="s">
        <v>5</v>
      </c>
      <c r="H1" t="s">
        <v>6</v>
      </c>
      <c r="I1" t="s">
        <v>7</v>
      </c>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row>
    <row r="2" spans="1:44" hidden="1">
      <c r="A2" t="s">
        <v>8</v>
      </c>
      <c r="B2" t="s">
        <v>8</v>
      </c>
      <c r="C2" t="s">
        <v>9</v>
      </c>
      <c r="D2">
        <v>933</v>
      </c>
      <c r="E2">
        <v>943</v>
      </c>
      <c r="F2">
        <v>946</v>
      </c>
      <c r="G2">
        <v>949</v>
      </c>
      <c r="H2">
        <v>900</v>
      </c>
      <c r="I2">
        <v>929</v>
      </c>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row>
    <row r="3" spans="1:44">
      <c r="A3" t="s">
        <v>10</v>
      </c>
      <c r="B3" t="s">
        <v>81</v>
      </c>
      <c r="C3" t="s">
        <v>11</v>
      </c>
      <c r="D3">
        <v>978</v>
      </c>
      <c r="E3">
        <v>993</v>
      </c>
      <c r="F3">
        <v>983</v>
      </c>
      <c r="G3">
        <v>996</v>
      </c>
      <c r="H3">
        <v>965</v>
      </c>
      <c r="I3">
        <v>987</v>
      </c>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row>
    <row r="4" spans="1:44">
      <c r="A4" t="s">
        <v>10</v>
      </c>
      <c r="B4" t="s">
        <v>82</v>
      </c>
      <c r="C4" t="s">
        <v>12</v>
      </c>
      <c r="D4">
        <v>893</v>
      </c>
      <c r="E4">
        <v>938</v>
      </c>
      <c r="F4">
        <v>914</v>
      </c>
      <c r="G4">
        <v>953</v>
      </c>
      <c r="H4">
        <v>819</v>
      </c>
      <c r="I4">
        <v>890</v>
      </c>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row>
    <row r="5" spans="1:44">
      <c r="A5" t="s">
        <v>10</v>
      </c>
      <c r="B5" t="s">
        <v>82</v>
      </c>
      <c r="C5" t="s">
        <v>13</v>
      </c>
      <c r="D5">
        <v>935</v>
      </c>
      <c r="E5">
        <v>958</v>
      </c>
      <c r="F5">
        <v>944</v>
      </c>
      <c r="G5">
        <v>960</v>
      </c>
      <c r="H5">
        <v>872</v>
      </c>
      <c r="I5">
        <v>946</v>
      </c>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row>
    <row r="6" spans="1:44">
      <c r="A6" t="s">
        <v>10</v>
      </c>
      <c r="B6" t="s">
        <v>83</v>
      </c>
      <c r="C6" t="s">
        <v>14</v>
      </c>
      <c r="D6">
        <v>919</v>
      </c>
      <c r="E6">
        <v>918</v>
      </c>
      <c r="F6">
        <v>926</v>
      </c>
      <c r="G6">
        <v>921</v>
      </c>
      <c r="H6">
        <v>868</v>
      </c>
      <c r="I6">
        <v>895</v>
      </c>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row>
    <row r="7" spans="1:44">
      <c r="A7" t="s">
        <v>10</v>
      </c>
      <c r="B7" t="s">
        <v>84</v>
      </c>
      <c r="C7" t="s">
        <v>15</v>
      </c>
      <c r="D7">
        <v>989</v>
      </c>
      <c r="E7">
        <v>991</v>
      </c>
      <c r="F7">
        <v>1004</v>
      </c>
      <c r="G7">
        <v>1001</v>
      </c>
      <c r="H7">
        <v>932</v>
      </c>
      <c r="I7">
        <v>956</v>
      </c>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row>
    <row r="8" spans="1:44">
      <c r="A8" t="s">
        <v>10</v>
      </c>
      <c r="B8" t="s">
        <v>85</v>
      </c>
      <c r="C8" t="s">
        <v>16</v>
      </c>
      <c r="D8">
        <v>961</v>
      </c>
      <c r="E8">
        <v>973</v>
      </c>
      <c r="F8">
        <v>988</v>
      </c>
      <c r="G8">
        <v>1003</v>
      </c>
      <c r="H8">
        <v>934</v>
      </c>
      <c r="I8">
        <v>956</v>
      </c>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row>
    <row r="9" spans="1:44">
      <c r="A9" t="s">
        <v>10</v>
      </c>
      <c r="B9" t="s">
        <v>85</v>
      </c>
      <c r="C9" t="s">
        <v>17</v>
      </c>
      <c r="D9">
        <v>920</v>
      </c>
      <c r="E9">
        <v>919</v>
      </c>
      <c r="F9">
        <v>945</v>
      </c>
      <c r="G9">
        <v>949</v>
      </c>
      <c r="H9">
        <v>880</v>
      </c>
      <c r="I9">
        <v>880</v>
      </c>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row>
    <row r="10" spans="1:44">
      <c r="A10" t="s">
        <v>10</v>
      </c>
      <c r="B10" t="s">
        <v>86</v>
      </c>
      <c r="C10" t="s">
        <v>18</v>
      </c>
      <c r="D10">
        <v>861</v>
      </c>
      <c r="E10">
        <v>879</v>
      </c>
      <c r="F10">
        <v>866</v>
      </c>
      <c r="G10">
        <v>882</v>
      </c>
      <c r="H10">
        <v>847</v>
      </c>
      <c r="I10">
        <v>873</v>
      </c>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row>
    <row r="11" spans="1:44">
      <c r="A11" t="s">
        <v>10</v>
      </c>
      <c r="B11" t="s">
        <v>86</v>
      </c>
      <c r="C11" t="s">
        <v>19</v>
      </c>
      <c r="D11">
        <v>968</v>
      </c>
      <c r="E11">
        <v>972</v>
      </c>
      <c r="F11">
        <v>989</v>
      </c>
      <c r="G11">
        <v>986</v>
      </c>
      <c r="H11">
        <v>795</v>
      </c>
      <c r="I11">
        <v>853</v>
      </c>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row>
    <row r="12" spans="1:44">
      <c r="A12" t="s">
        <v>10</v>
      </c>
      <c r="B12" t="s">
        <v>86</v>
      </c>
      <c r="C12" t="s">
        <v>20</v>
      </c>
      <c r="D12">
        <v>892</v>
      </c>
      <c r="E12">
        <v>889</v>
      </c>
      <c r="F12">
        <v>917</v>
      </c>
      <c r="G12">
        <v>908</v>
      </c>
      <c r="H12">
        <v>819</v>
      </c>
      <c r="I12">
        <v>840</v>
      </c>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row>
    <row r="13" spans="1:44">
      <c r="A13" t="s">
        <v>10</v>
      </c>
      <c r="B13" t="s">
        <v>83</v>
      </c>
      <c r="C13" t="s">
        <v>21</v>
      </c>
      <c r="D13">
        <v>941</v>
      </c>
      <c r="E13">
        <v>948</v>
      </c>
      <c r="F13">
        <v>962</v>
      </c>
      <c r="G13">
        <v>961</v>
      </c>
      <c r="H13">
        <v>870</v>
      </c>
      <c r="I13">
        <v>910</v>
      </c>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row>
    <row r="14" spans="1:44">
      <c r="A14" t="s">
        <v>10</v>
      </c>
      <c r="B14" t="s">
        <v>81</v>
      </c>
      <c r="C14" t="s">
        <v>22</v>
      </c>
      <c r="D14">
        <v>965</v>
      </c>
      <c r="E14">
        <v>973</v>
      </c>
      <c r="F14">
        <v>977</v>
      </c>
      <c r="G14">
        <v>979</v>
      </c>
      <c r="H14">
        <v>942</v>
      </c>
      <c r="I14">
        <v>963</v>
      </c>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row>
    <row r="15" spans="1:44">
      <c r="A15" t="s">
        <v>10</v>
      </c>
      <c r="B15" t="s">
        <v>81</v>
      </c>
      <c r="C15" t="s">
        <v>23</v>
      </c>
      <c r="D15">
        <v>1058</v>
      </c>
      <c r="E15">
        <v>1084</v>
      </c>
      <c r="F15">
        <v>1059</v>
      </c>
      <c r="G15">
        <v>1078</v>
      </c>
      <c r="H15">
        <v>1058</v>
      </c>
      <c r="I15">
        <v>1091</v>
      </c>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row>
    <row r="16" spans="1:44">
      <c r="A16" t="s">
        <v>10</v>
      </c>
      <c r="B16" t="s">
        <v>84</v>
      </c>
      <c r="C16" t="s">
        <v>24</v>
      </c>
      <c r="D16">
        <v>919</v>
      </c>
      <c r="E16">
        <v>931</v>
      </c>
      <c r="F16">
        <v>927</v>
      </c>
      <c r="G16">
        <v>936</v>
      </c>
      <c r="H16">
        <v>898</v>
      </c>
      <c r="I16">
        <v>918</v>
      </c>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row>
    <row r="17" spans="1:44">
      <c r="A17" t="s">
        <v>10</v>
      </c>
      <c r="B17" t="s">
        <v>85</v>
      </c>
      <c r="C17" t="s">
        <v>25</v>
      </c>
      <c r="D17">
        <v>922</v>
      </c>
      <c r="E17">
        <v>929</v>
      </c>
      <c r="F17">
        <v>960</v>
      </c>
      <c r="G17">
        <v>952</v>
      </c>
      <c r="H17">
        <v>873</v>
      </c>
      <c r="I17">
        <v>903</v>
      </c>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row>
    <row r="18" spans="1:44">
      <c r="A18" t="s">
        <v>10</v>
      </c>
      <c r="B18" t="s">
        <v>82</v>
      </c>
      <c r="C18" t="s">
        <v>26</v>
      </c>
      <c r="D18">
        <v>978</v>
      </c>
      <c r="E18">
        <v>985</v>
      </c>
      <c r="F18">
        <v>967</v>
      </c>
      <c r="G18">
        <v>969</v>
      </c>
      <c r="H18">
        <v>1009</v>
      </c>
      <c r="I18">
        <v>1026</v>
      </c>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row>
    <row r="19" spans="1:44">
      <c r="A19" t="s">
        <v>10</v>
      </c>
      <c r="B19" t="s">
        <v>82</v>
      </c>
      <c r="C19" t="s">
        <v>27</v>
      </c>
      <c r="D19">
        <v>972</v>
      </c>
      <c r="E19">
        <v>989</v>
      </c>
      <c r="F19">
        <v>969</v>
      </c>
      <c r="G19">
        <v>986</v>
      </c>
      <c r="H19">
        <v>982</v>
      </c>
      <c r="I19">
        <v>1001</v>
      </c>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row>
    <row r="20" spans="1:44">
      <c r="A20" t="s">
        <v>10</v>
      </c>
      <c r="B20" t="s">
        <v>82</v>
      </c>
      <c r="C20" t="s">
        <v>28</v>
      </c>
      <c r="D20">
        <v>935</v>
      </c>
      <c r="E20">
        <v>976</v>
      </c>
      <c r="F20">
        <v>923</v>
      </c>
      <c r="G20">
        <v>952</v>
      </c>
      <c r="H20">
        <v>948</v>
      </c>
      <c r="I20">
        <v>998</v>
      </c>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row>
    <row r="21" spans="1:44">
      <c r="A21" t="s">
        <v>10</v>
      </c>
      <c r="B21" t="s">
        <v>82</v>
      </c>
      <c r="C21" t="s">
        <v>29</v>
      </c>
      <c r="D21">
        <v>900</v>
      </c>
      <c r="E21">
        <v>931</v>
      </c>
      <c r="F21">
        <v>916</v>
      </c>
      <c r="G21">
        <v>940</v>
      </c>
      <c r="H21">
        <v>829</v>
      </c>
      <c r="I21">
        <v>908</v>
      </c>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row>
    <row r="22" spans="1:44">
      <c r="A22" t="s">
        <v>10</v>
      </c>
      <c r="B22" t="s">
        <v>83</v>
      </c>
      <c r="C22" t="s">
        <v>30</v>
      </c>
      <c r="D22">
        <v>972</v>
      </c>
      <c r="E22">
        <v>979</v>
      </c>
      <c r="F22">
        <v>987</v>
      </c>
      <c r="G22">
        <v>989</v>
      </c>
      <c r="H22">
        <v>895</v>
      </c>
      <c r="I22">
        <v>932</v>
      </c>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row>
    <row r="23" spans="1:44">
      <c r="A23" t="s">
        <v>10</v>
      </c>
      <c r="B23" t="s">
        <v>86</v>
      </c>
      <c r="C23" t="s">
        <v>31</v>
      </c>
      <c r="D23">
        <v>876</v>
      </c>
      <c r="E23">
        <v>895</v>
      </c>
      <c r="F23">
        <v>890</v>
      </c>
      <c r="G23">
        <v>907</v>
      </c>
      <c r="H23">
        <v>849</v>
      </c>
      <c r="I23">
        <v>875</v>
      </c>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row>
    <row r="24" spans="1:44">
      <c r="A24" t="s">
        <v>10</v>
      </c>
      <c r="B24" t="s">
        <v>85</v>
      </c>
      <c r="C24" t="s">
        <v>32</v>
      </c>
      <c r="D24">
        <v>921</v>
      </c>
      <c r="E24">
        <v>928</v>
      </c>
      <c r="F24">
        <v>930</v>
      </c>
      <c r="G24">
        <v>933</v>
      </c>
      <c r="H24">
        <v>890</v>
      </c>
      <c r="I24">
        <v>914</v>
      </c>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row>
    <row r="25" spans="1:44">
      <c r="A25" t="s">
        <v>10</v>
      </c>
      <c r="B25" t="s">
        <v>82</v>
      </c>
      <c r="C25" t="s">
        <v>33</v>
      </c>
      <c r="D25">
        <v>875</v>
      </c>
      <c r="E25">
        <v>890</v>
      </c>
      <c r="F25">
        <v>880</v>
      </c>
      <c r="G25">
        <v>882</v>
      </c>
      <c r="H25">
        <v>830</v>
      </c>
      <c r="I25">
        <v>913</v>
      </c>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row>
    <row r="26" spans="1:44">
      <c r="A26" t="s">
        <v>10</v>
      </c>
      <c r="B26" t="s">
        <v>81</v>
      </c>
      <c r="C26" t="s">
        <v>34</v>
      </c>
      <c r="D26">
        <v>987</v>
      </c>
      <c r="E26">
        <v>996</v>
      </c>
      <c r="F26">
        <v>992</v>
      </c>
      <c r="G26">
        <v>993</v>
      </c>
      <c r="H26">
        <v>982</v>
      </c>
      <c r="I26">
        <v>1000</v>
      </c>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row>
    <row r="27" spans="1:44">
      <c r="A27" t="s">
        <v>10</v>
      </c>
      <c r="B27" t="s">
        <v>82</v>
      </c>
      <c r="C27" t="s">
        <v>35</v>
      </c>
      <c r="D27">
        <v>948</v>
      </c>
      <c r="E27">
        <v>960</v>
      </c>
      <c r="F27">
        <v>946</v>
      </c>
      <c r="G27">
        <v>955</v>
      </c>
      <c r="H27">
        <v>959</v>
      </c>
      <c r="I27">
        <v>973</v>
      </c>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row>
    <row r="28" spans="1:44">
      <c r="A28" t="s">
        <v>10</v>
      </c>
      <c r="B28" t="s">
        <v>86</v>
      </c>
      <c r="C28" t="s">
        <v>36</v>
      </c>
      <c r="D28">
        <v>898</v>
      </c>
      <c r="E28">
        <v>912</v>
      </c>
      <c r="F28">
        <v>904</v>
      </c>
      <c r="G28">
        <v>918</v>
      </c>
      <c r="H28">
        <v>876</v>
      </c>
      <c r="I28">
        <v>894</v>
      </c>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row>
    <row r="29" spans="1:44">
      <c r="A29" t="s">
        <v>10</v>
      </c>
      <c r="B29" t="s">
        <v>86</v>
      </c>
      <c r="C29" t="s">
        <v>37</v>
      </c>
      <c r="D29">
        <v>962</v>
      </c>
      <c r="E29">
        <v>963</v>
      </c>
      <c r="F29">
        <v>1007</v>
      </c>
      <c r="G29">
        <v>1000</v>
      </c>
      <c r="H29">
        <v>845</v>
      </c>
      <c r="I29">
        <v>884</v>
      </c>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row>
    <row r="30" spans="1:44">
      <c r="A30" t="s">
        <v>10</v>
      </c>
      <c r="B30" t="s">
        <v>83</v>
      </c>
      <c r="C30" t="s">
        <v>38</v>
      </c>
      <c r="D30">
        <v>934</v>
      </c>
      <c r="E30">
        <v>950</v>
      </c>
      <c r="F30">
        <v>950</v>
      </c>
      <c r="G30">
        <v>953</v>
      </c>
      <c r="H30">
        <v>893</v>
      </c>
      <c r="I30">
        <v>944</v>
      </c>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row>
    <row r="31" spans="1:44">
      <c r="A31" t="s">
        <v>39</v>
      </c>
      <c r="B31" t="s">
        <v>87</v>
      </c>
      <c r="C31" t="s">
        <v>40</v>
      </c>
      <c r="D31">
        <v>846</v>
      </c>
      <c r="E31">
        <v>876</v>
      </c>
      <c r="F31">
        <v>861</v>
      </c>
      <c r="G31">
        <v>877</v>
      </c>
      <c r="H31">
        <v>815</v>
      </c>
      <c r="I31">
        <v>874</v>
      </c>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row>
    <row r="32" spans="1:44">
      <c r="A32" t="s">
        <v>39</v>
      </c>
      <c r="B32" t="s">
        <v>87</v>
      </c>
      <c r="C32" t="s">
        <v>41</v>
      </c>
      <c r="D32">
        <v>777</v>
      </c>
      <c r="E32">
        <v>818</v>
      </c>
      <c r="F32">
        <v>621</v>
      </c>
      <c r="G32">
        <v>690</v>
      </c>
      <c r="H32">
        <v>796</v>
      </c>
      <c r="I32">
        <v>822</v>
      </c>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row>
    <row r="33" spans="1:44">
      <c r="A33" t="s">
        <v>39</v>
      </c>
      <c r="B33" t="s">
        <v>87</v>
      </c>
      <c r="C33" t="s">
        <v>42</v>
      </c>
      <c r="D33">
        <v>812</v>
      </c>
      <c r="E33">
        <v>774</v>
      </c>
      <c r="F33">
        <v>852</v>
      </c>
      <c r="G33">
        <v>863</v>
      </c>
      <c r="H33">
        <v>691</v>
      </c>
      <c r="I33">
        <v>682</v>
      </c>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row>
    <row r="34" spans="1:44">
      <c r="A34" t="s">
        <v>39</v>
      </c>
      <c r="B34" t="s">
        <v>87</v>
      </c>
      <c r="C34" t="s">
        <v>43</v>
      </c>
      <c r="D34">
        <v>710</v>
      </c>
      <c r="E34">
        <v>618</v>
      </c>
      <c r="F34">
        <v>586</v>
      </c>
      <c r="G34">
        <v>864</v>
      </c>
      <c r="H34">
        <v>984</v>
      </c>
      <c r="I34">
        <v>551</v>
      </c>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row>
    <row r="35" spans="1:44">
      <c r="A35" t="s">
        <v>39</v>
      </c>
      <c r="B35" t="s">
        <v>87</v>
      </c>
      <c r="C35" t="s">
        <v>44</v>
      </c>
      <c r="D35">
        <v>948</v>
      </c>
      <c r="E35">
        <v>946</v>
      </c>
      <c r="F35">
        <v>959</v>
      </c>
      <c r="G35">
        <v>952</v>
      </c>
      <c r="H35">
        <v>935</v>
      </c>
      <c r="I35">
        <v>945</v>
      </c>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row>
    <row r="36" spans="1:44">
      <c r="A36" t="s">
        <v>39</v>
      </c>
      <c r="B36" t="s">
        <v>87</v>
      </c>
      <c r="C36" t="s">
        <v>45</v>
      </c>
      <c r="D36">
        <v>821</v>
      </c>
      <c r="E36">
        <v>868</v>
      </c>
      <c r="F36">
        <v>810</v>
      </c>
      <c r="G36">
        <v>852</v>
      </c>
      <c r="H36">
        <v>822</v>
      </c>
      <c r="I36">
        <v>868</v>
      </c>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row>
    <row r="37" spans="1:44">
      <c r="A37" t="s">
        <v>39</v>
      </c>
      <c r="B37" t="s">
        <v>87</v>
      </c>
      <c r="C37" t="s">
        <v>46</v>
      </c>
      <c r="D37">
        <v>1001</v>
      </c>
      <c r="E37">
        <v>1037</v>
      </c>
      <c r="F37">
        <v>990</v>
      </c>
      <c r="G37">
        <v>1028</v>
      </c>
      <c r="H37">
        <v>1007</v>
      </c>
      <c r="I37">
        <v>1042</v>
      </c>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row>
    <row r="38" spans="1:44">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row>
    <row r="39" spans="1:44">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row>
    <row r="40" spans="1:44">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row>
    <row r="41" spans="1:44">
      <c r="A41" s="2"/>
      <c r="B41" s="2"/>
      <c r="C41" s="54" t="s">
        <v>94</v>
      </c>
      <c r="D41" s="54">
        <f>MAX(D3:D37)</f>
        <v>1058</v>
      </c>
      <c r="E41" s="54">
        <f t="shared" ref="E41:I41" si="0">MAX(E3:E37)</f>
        <v>1084</v>
      </c>
      <c r="F41" s="54">
        <f t="shared" si="0"/>
        <v>1059</v>
      </c>
      <c r="G41" s="54">
        <f t="shared" si="0"/>
        <v>1078</v>
      </c>
      <c r="H41" s="54">
        <f t="shared" si="0"/>
        <v>1058</v>
      </c>
      <c r="I41" s="54">
        <f t="shared" si="0"/>
        <v>1091</v>
      </c>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row>
    <row r="42" spans="1:44">
      <c r="A42" s="2"/>
      <c r="B42" s="2"/>
      <c r="C42" s="54" t="s">
        <v>95</v>
      </c>
      <c r="D42" s="54">
        <f t="shared" ref="D42:I42" si="1">MIN(D3:D37)</f>
        <v>710</v>
      </c>
      <c r="E42" s="54">
        <f t="shared" si="1"/>
        <v>618</v>
      </c>
      <c r="F42" s="54">
        <f t="shared" si="1"/>
        <v>586</v>
      </c>
      <c r="G42" s="54">
        <f t="shared" si="1"/>
        <v>690</v>
      </c>
      <c r="H42" s="54">
        <f t="shared" si="1"/>
        <v>691</v>
      </c>
      <c r="I42" s="54">
        <f t="shared" si="1"/>
        <v>551</v>
      </c>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row>
    <row r="43" spans="1:44">
      <c r="A43" s="2"/>
      <c r="B43" s="2"/>
      <c r="C43" s="54" t="s">
        <v>121</v>
      </c>
      <c r="D43" s="54">
        <f t="shared" ref="D43:I43" si="2">STDEV(D3:D37)</f>
        <v>68.332012011547093</v>
      </c>
      <c r="E43" s="54">
        <f t="shared" si="2"/>
        <v>79.735402763023117</v>
      </c>
      <c r="F43" s="54">
        <f t="shared" si="2"/>
        <v>94.587578909884613</v>
      </c>
      <c r="G43" s="54">
        <f t="shared" si="2"/>
        <v>66.525511628840491</v>
      </c>
      <c r="H43" s="54">
        <f t="shared" si="2"/>
        <v>76.018098243143399</v>
      </c>
      <c r="I43" s="54">
        <f t="shared" si="2"/>
        <v>96.067404557880209</v>
      </c>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row>
    <row r="44" spans="1:44">
      <c r="A44" s="2"/>
      <c r="B44" s="2"/>
      <c r="C44" s="54" t="s">
        <v>96</v>
      </c>
      <c r="D44" s="54">
        <f t="shared" ref="D44:I44" si="3">VAR(D3:D37)</f>
        <v>4669.2638655462169</v>
      </c>
      <c r="E44" s="54">
        <f>VAR(E3:E37)</f>
        <v>6357.7344537815143</v>
      </c>
      <c r="F44" s="54">
        <f>VAR(F3:F37)</f>
        <v>8946.8100840336483</v>
      </c>
      <c r="G44" s="54">
        <f t="shared" si="3"/>
        <v>4425.6436974789922</v>
      </c>
      <c r="H44" s="54">
        <f t="shared" si="3"/>
        <v>5778.7512605042011</v>
      </c>
      <c r="I44" s="54">
        <f t="shared" si="3"/>
        <v>9228.9462184874228</v>
      </c>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row>
    <row r="45" spans="1:44">
      <c r="A45" s="2"/>
      <c r="B45" s="2"/>
      <c r="C45" s="54" t="s">
        <v>125</v>
      </c>
      <c r="D45" s="54">
        <f>AVERAGE(D3:D37)</f>
        <v>919.82857142857142</v>
      </c>
      <c r="E45" s="54">
        <f t="shared" ref="E45:I45" si="4">AVERAGE(E3:E37)</f>
        <v>931.02857142857147</v>
      </c>
      <c r="F45" s="54">
        <f t="shared" si="4"/>
        <v>922.88571428571424</v>
      </c>
      <c r="G45" s="54">
        <f t="shared" si="4"/>
        <v>941.94285714285718</v>
      </c>
      <c r="H45" s="54">
        <f t="shared" si="4"/>
        <v>891.68571428571431</v>
      </c>
      <c r="I45" s="54">
        <f t="shared" si="4"/>
        <v>911.62857142857138</v>
      </c>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row>
    <row r="46" spans="1:44">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row>
    <row r="47" spans="1:44">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row>
    <row r="48" spans="1:44">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row>
    <row r="49" spans="1:44">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row>
    <row r="50" spans="1:44">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row>
    <row r="51" spans="1:44">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row>
    <row r="52" spans="1:44">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row>
    <row r="53" spans="1:44">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row>
    <row r="54" spans="1:44">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row>
    <row r="55" spans="1:44">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row>
    <row r="56" spans="1:44">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row>
    <row r="57" spans="1:44">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row>
    <row r="58" spans="1:44">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row>
    <row r="59" spans="1:44">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row>
    <row r="60" spans="1:44">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row>
    <row r="61" spans="1:44">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row>
    <row r="62" spans="1:44">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row>
    <row r="63" spans="1:44">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row>
    <row r="64" spans="1:44">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row>
    <row r="65" spans="1:44">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row>
    <row r="66" spans="1:44">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row>
    <row r="67" spans="1:44">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row>
    <row r="68" spans="1:44">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row>
    <row r="69" spans="1:44">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row>
    <row r="70" spans="1:44">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row>
    <row r="71" spans="1:44">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row>
    <row r="72" spans="1:44">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row>
    <row r="73" spans="1:44">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row>
    <row r="74" spans="1:44">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row>
    <row r="75" spans="1:44">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row>
    <row r="76" spans="1:44">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row>
    <row r="77" spans="1:44">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row>
    <row r="78" spans="1:44">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row>
    <row r="79" spans="1:44">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row>
    <row r="80" spans="1:44">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row>
    <row r="81" spans="1:44">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row>
    <row r="82" spans="1:44">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row>
    <row r="83" spans="1:44">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row>
    <row r="84" spans="1:44">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row>
    <row r="85" spans="1:44">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row>
    <row r="86" spans="1:44">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row>
    <row r="87" spans="1:44">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row>
    <row r="88" spans="1:44">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row>
    <row r="89" spans="1:44">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row>
    <row r="90" spans="1:44">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row>
    <row r="91" spans="1:44">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row>
    <row r="92" spans="1:44">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row>
    <row r="93" spans="1:44">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row>
    <row r="94" spans="1:44">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row>
    <row r="95" spans="1:44">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row>
    <row r="96" spans="1:44">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row>
    <row r="97" spans="1:44">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row>
    <row r="98" spans="1:44">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row>
    <row r="99" spans="1:44">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row>
    <row r="100" spans="1:44">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row>
    <row r="101" spans="1:44">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row>
    <row r="102" spans="1:44">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row>
    <row r="103" spans="1:44">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row>
    <row r="104" spans="1:44">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row>
    <row r="105" spans="1:44">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row>
    <row r="106" spans="1:44">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row>
    <row r="107" spans="1:44">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row>
    <row r="108" spans="1:44">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row>
    <row r="109" spans="1:44">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row>
    <row r="110" spans="1:44">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row>
    <row r="111" spans="1:44">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row>
    <row r="112" spans="1:44">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row>
    <row r="113" spans="1:44">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row>
    <row r="114" spans="1:44">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row>
    <row r="115" spans="1:44">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row>
    <row r="116" spans="1:44">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row>
    <row r="117" spans="1:44">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row>
    <row r="118" spans="1:44">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row>
    <row r="119" spans="1:44">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row>
    <row r="120" spans="1:44">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row>
    <row r="121" spans="1:44">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row>
    <row r="122" spans="1:44">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row>
    <row r="123" spans="1:44">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row>
    <row r="124" spans="1:44">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row>
    <row r="125" spans="1:44">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row>
    <row r="126" spans="1:44">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row>
    <row r="127" spans="1:44">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row>
    <row r="128" spans="1:44">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row>
    <row r="129" spans="1:44">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row>
    <row r="130" spans="1:44">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row>
    <row r="131" spans="1:44">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row>
    <row r="132" spans="1:44">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row>
    <row r="133" spans="1:44">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row>
    <row r="134" spans="1:44">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row>
    <row r="135" spans="1:44">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row>
    <row r="136" spans="1:44">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row>
    <row r="137" spans="1:44">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row>
    <row r="138" spans="1:44">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row>
    <row r="139" spans="1:44">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row>
    <row r="140" spans="1:44">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row>
    <row r="141" spans="1:44">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row>
    <row r="142" spans="1:44">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row>
    <row r="143" spans="1:44">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row>
    <row r="144" spans="1:44">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row>
    <row r="145" spans="1:44">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row>
    <row r="146" spans="1:44">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row>
    <row r="147" spans="1:44">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row>
    <row r="148" spans="1:44">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row>
    <row r="149" spans="1:44">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row>
    <row r="150" spans="1:44">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row>
    <row r="151" spans="1:44">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row>
    <row r="152" spans="1:44">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row>
    <row r="153" spans="1:44">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row>
    <row r="154" spans="1:44">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row>
    <row r="155" spans="1:44">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row>
    <row r="156" spans="1:44">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row>
    <row r="157" spans="1:44">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row>
    <row r="158" spans="1:44">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row>
    <row r="159" spans="1:44">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row>
    <row r="160" spans="1:44">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row>
    <row r="161" spans="1:44">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row>
    <row r="162" spans="1:44">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row>
    <row r="163" spans="1:44">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row>
    <row r="164" spans="1:44">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row>
    <row r="165" spans="1:44">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row>
    <row r="166" spans="1:44">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row>
    <row r="167" spans="1:44">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row>
    <row r="168" spans="1:44">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row>
    <row r="169" spans="1:44">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row>
    <row r="170" spans="1:44">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row>
    <row r="171" spans="1:44">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row>
    <row r="172" spans="1:44">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row>
    <row r="173" spans="1:44">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row>
    <row r="174" spans="1:44">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row>
    <row r="175" spans="1:44">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row>
    <row r="176" spans="1:44">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row>
    <row r="177" spans="1:44">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row>
    <row r="178" spans="1:44">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row>
    <row r="179" spans="1:44">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row>
    <row r="180" spans="1:44">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row>
    <row r="181" spans="1:44">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row>
    <row r="182" spans="1:44">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row>
    <row r="183" spans="1:44">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row>
    <row r="184" spans="1:44">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row>
    <row r="185" spans="1:44">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row>
    <row r="186" spans="1:44">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row>
    <row r="187" spans="1:44">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row>
    <row r="188" spans="1:44">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row>
    <row r="189" spans="1:44">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row>
    <row r="190" spans="1:44">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row>
    <row r="191" spans="1:44">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row>
    <row r="192" spans="1:44">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row>
    <row r="193" spans="1:44">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row>
    <row r="194" spans="1:44">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row>
    <row r="195" spans="1:44">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row>
    <row r="196" spans="1:44">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row>
    <row r="197" spans="1:44">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row>
    <row r="198" spans="1:44">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row>
    <row r="199" spans="1:44">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row>
    <row r="200" spans="1:44">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row>
    <row r="201" spans="1:44">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row>
    <row r="202" spans="1:44">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row>
    <row r="203" spans="1:44">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row>
    <row r="204" spans="1:44">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row>
    <row r="205" spans="1:44">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row>
    <row r="206" spans="1:44">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row>
    <row r="207" spans="1:44">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row>
    <row r="208" spans="1:44">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row>
    <row r="209" spans="1:44">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row>
    <row r="210" spans="1:44">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row>
    <row r="211" spans="1:44">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row>
    <row r="212" spans="1:44">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row>
    <row r="213" spans="1:44">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row>
    <row r="214" spans="1:44">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row>
    <row r="215" spans="1:44">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row>
    <row r="216" spans="1:44">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row>
    <row r="217" spans="1:44">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row>
    <row r="218" spans="1:44">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row>
    <row r="219" spans="1:44">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row>
    <row r="220" spans="1:44">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row>
    <row r="221" spans="1:44">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row>
    <row r="222" spans="1:44">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row>
    <row r="223" spans="1:44">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row>
    <row r="224" spans="1:44">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row>
    <row r="225" spans="1:44">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row>
    <row r="226" spans="1:44">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row>
    <row r="227" spans="1:44">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row>
    <row r="228" spans="1:44">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row>
    <row r="229" spans="1:44">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row>
    <row r="230" spans="1:44">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row>
    <row r="231" spans="1:44">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row>
    <row r="232" spans="1:44">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row>
    <row r="233" spans="1:44">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row>
    <row r="234" spans="1:44">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row>
    <row r="235" spans="1:44">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row>
    <row r="236" spans="1:44">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row>
    <row r="237" spans="1:44">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row>
    <row r="238" spans="1:44">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row>
    <row r="239" spans="1:44">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row>
    <row r="240" spans="1:44">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row>
    <row r="241" spans="1:44">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row>
    <row r="242" spans="1:44">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row>
    <row r="243" spans="1:44">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row>
    <row r="244" spans="1:44">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row>
    <row r="245" spans="1:44">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row>
    <row r="246" spans="1:44">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row>
    <row r="247" spans="1:44">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row>
    <row r="248" spans="1:44">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row>
    <row r="249" spans="1:44">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row>
    <row r="250" spans="1:44">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row>
    <row r="251" spans="1:44">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row>
    <row r="252" spans="1:44">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row>
    <row r="253" spans="1:44">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row>
    <row r="254" spans="1:44">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row>
    <row r="255" spans="1:44">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row>
    <row r="256" spans="1:44">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row>
    <row r="257" spans="1:44">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row>
    <row r="258" spans="1:44">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row>
    <row r="259" spans="1:44">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row>
    <row r="260" spans="1:44">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row>
    <row r="261" spans="1:44">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row>
    <row r="262" spans="1:44">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row>
    <row r="263" spans="1:44">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row>
    <row r="264" spans="1:44">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row>
    <row r="265" spans="1:44">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row>
    <row r="266" spans="1:44">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row>
    <row r="267" spans="1:44">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row>
    <row r="268" spans="1:44">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row>
    <row r="269" spans="1:44">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row>
    <row r="270" spans="1:44">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row>
    <row r="271" spans="1:44">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row>
    <row r="272" spans="1:44">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row>
    <row r="273" spans="1:44">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row>
    <row r="274" spans="1:44">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row>
    <row r="275" spans="1:44">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row>
    <row r="276" spans="1:44">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row>
    <row r="277" spans="1:44">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row>
    <row r="278" spans="1:44">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row>
    <row r="279" spans="1:44">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row>
    <row r="280" spans="1:44">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row>
    <row r="281" spans="1:44">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row>
    <row r="282" spans="1:44">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row>
    <row r="283" spans="1:44">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row>
    <row r="284" spans="1:44">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row>
    <row r="285" spans="1:44">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row>
    <row r="286" spans="1:44">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row>
    <row r="287" spans="1:44">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row>
    <row r="288" spans="1:44">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row>
    <row r="289" spans="1:44">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row>
    <row r="290" spans="1:44">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row>
    <row r="291" spans="1:44">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row>
    <row r="292" spans="1:44">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row>
    <row r="293" spans="1:44">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row>
    <row r="294" spans="1:44">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row>
    <row r="295" spans="1:44">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row>
    <row r="296" spans="1:44">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row>
    <row r="297" spans="1:44">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row>
    <row r="298" spans="1:44">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row>
    <row r="299" spans="1:44">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row>
    <row r="300" spans="1:44">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row>
    <row r="301" spans="1:44">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row>
    <row r="302" spans="1:44">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row>
    <row r="303" spans="1:44">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row>
    <row r="304" spans="1:44">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row>
    <row r="305" spans="1:44">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row>
    <row r="306" spans="1:44">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row>
    <row r="307" spans="1:44">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row>
    <row r="308" spans="1:44">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row>
    <row r="309" spans="1:44">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row>
    <row r="310" spans="1:44">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row>
    <row r="311" spans="1:44">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row>
    <row r="312" spans="1:44">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row>
    <row r="313" spans="1:44">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row>
    <row r="314" spans="1:44">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row>
    <row r="315" spans="1:44">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row>
    <row r="316" spans="1:44">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row>
    <row r="317" spans="1:44">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row>
    <row r="318" spans="1:44">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row>
    <row r="319" spans="1:44">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row>
    <row r="320" spans="1:44">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row>
    <row r="321" spans="1:44">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row>
    <row r="322" spans="1:44">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row>
    <row r="323" spans="1:44">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row>
    <row r="324" spans="1:44">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row>
    <row r="325" spans="1:44">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row>
    <row r="326" spans="1:44">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row>
    <row r="327" spans="1:44">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row>
    <row r="328" spans="1:44">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row>
    <row r="329" spans="1:44">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row>
    <row r="330" spans="1:44">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row>
    <row r="331" spans="1:44">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row>
    <row r="332" spans="1:44">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row>
    <row r="333" spans="1:44">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row>
    <row r="334" spans="1:44">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row>
    <row r="335" spans="1:44">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row>
    <row r="336" spans="1:44">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row>
    <row r="337" spans="1:44">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row>
    <row r="338" spans="1:44">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row>
    <row r="339" spans="1:44">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row>
    <row r="340" spans="1:44">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row>
    <row r="341" spans="1:44">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row>
    <row r="342" spans="1:44">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row>
    <row r="343" spans="1:44">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row>
    <row r="344" spans="1:44">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row>
    <row r="345" spans="1:44">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row>
    <row r="346" spans="1:44">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row>
    <row r="347" spans="1:44">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row>
    <row r="348" spans="1:44">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row>
    <row r="349" spans="1:44">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row>
    <row r="350" spans="1:44">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row>
    <row r="351" spans="1:44">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row>
    <row r="352" spans="1:44">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row>
    <row r="353" spans="1:44">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row>
    <row r="354" spans="1:44">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row>
    <row r="355" spans="1:44">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row>
    <row r="356" spans="1:44">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row>
    <row r="357" spans="1:44">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row>
    <row r="358" spans="1:44">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row>
    <row r="359" spans="1:44">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row>
    <row r="360" spans="1:44">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row>
    <row r="361" spans="1:44">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row>
    <row r="362" spans="1:44">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row>
    <row r="363" spans="1:44">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row>
    <row r="364" spans="1:44">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row>
    <row r="365" spans="1:44">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row>
    <row r="366" spans="1:44">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row>
    <row r="367" spans="1:44">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row>
    <row r="368" spans="1:44">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row>
    <row r="369" spans="1:44">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row>
    <row r="370" spans="1:44">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row>
    <row r="371" spans="1:44">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row>
    <row r="372" spans="1:44">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row>
    <row r="373" spans="1:44">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row>
    <row r="374" spans="1:44">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row>
    <row r="375" spans="1:44">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row>
    <row r="376" spans="1:44">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row>
    <row r="377" spans="1:44">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row>
    <row r="378" spans="1:44">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row>
    <row r="379" spans="1:44">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row>
    <row r="380" spans="1:44">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row>
    <row r="381" spans="1:44">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row>
    <row r="382" spans="1:44">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row>
    <row r="383" spans="1:44">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row>
    <row r="384" spans="1:44">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row>
    <row r="385" spans="1:44">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row>
    <row r="386" spans="1:44">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row>
    <row r="387" spans="1:44">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row>
    <row r="388" spans="1:44">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row>
    <row r="389" spans="1:44">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row>
    <row r="390" spans="1:44">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row>
    <row r="391" spans="1:44">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row>
    <row r="392" spans="1:44">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row>
    <row r="393" spans="1:44">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row>
    <row r="394" spans="1:44">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row>
    <row r="395" spans="1:44">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row>
  </sheetData>
  <pageMargins left="0.7" right="0.7" top="0.75" bottom="0.75" header="0.3" footer="0.3"/>
  <pageSetup orientation="portrait" horizontalDpi="300" verticalDpi="300" r:id="rId1"/>
  <ignoredErrors>
    <ignoredError sqref="D41" formulaRange="1"/>
  </ignoredErrors>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C71"/>
  <sheetViews>
    <sheetView topLeftCell="D1" zoomScale="82" zoomScaleNormal="82" workbookViewId="0">
      <selection activeCell="J2" sqref="J2"/>
    </sheetView>
  </sheetViews>
  <sheetFormatPr defaultRowHeight="15"/>
  <cols>
    <col min="1" max="1" width="13.5" customWidth="1"/>
    <col min="2" max="2" width="16.640625" customWidth="1"/>
    <col min="3" max="3" width="18.0703125" bestFit="1" customWidth="1"/>
    <col min="4" max="4" width="17.640625" customWidth="1"/>
    <col min="5" max="5" width="18.42578125" bestFit="1" customWidth="1"/>
    <col min="6" max="6" width="18.42578125" customWidth="1"/>
    <col min="7" max="7" width="18.5703125" customWidth="1"/>
    <col min="8" max="8" width="19" bestFit="1" customWidth="1"/>
    <col min="9" max="9" width="27.92578125" customWidth="1"/>
    <col min="10" max="10" width="29" customWidth="1"/>
  </cols>
  <sheetData>
    <row r="1" spans="1:29">
      <c r="A1" t="s">
        <v>0</v>
      </c>
      <c r="B1" t="s">
        <v>1</v>
      </c>
      <c r="C1" t="s">
        <v>54</v>
      </c>
      <c r="D1" t="s">
        <v>55</v>
      </c>
      <c r="E1" t="s">
        <v>56</v>
      </c>
      <c r="F1" t="s">
        <v>57</v>
      </c>
      <c r="G1" t="s">
        <v>58</v>
      </c>
      <c r="H1" t="s">
        <v>59</v>
      </c>
      <c r="I1" s="52" t="s">
        <v>120</v>
      </c>
      <c r="J1" s="52" t="s">
        <v>119</v>
      </c>
      <c r="K1" s="2"/>
      <c r="L1" s="2"/>
      <c r="M1" s="2"/>
      <c r="N1" s="2"/>
      <c r="O1" s="2"/>
      <c r="P1" s="2"/>
      <c r="Q1" s="2"/>
      <c r="R1" s="2"/>
      <c r="S1" s="2"/>
      <c r="T1" s="2"/>
      <c r="U1" s="2"/>
      <c r="V1" s="2"/>
      <c r="W1" s="2"/>
      <c r="X1" s="2"/>
      <c r="Y1" s="2"/>
      <c r="Z1" s="2"/>
      <c r="AA1" s="2"/>
      <c r="AB1" s="2"/>
      <c r="AC1" s="2"/>
    </row>
    <row r="2" spans="1:29">
      <c r="A2" t="s">
        <v>8</v>
      </c>
      <c r="B2" t="s">
        <v>9</v>
      </c>
      <c r="C2">
        <v>927</v>
      </c>
      <c r="D2">
        <v>918</v>
      </c>
      <c r="E2">
        <v>934</v>
      </c>
      <c r="F2">
        <v>923</v>
      </c>
      <c r="G2">
        <v>906</v>
      </c>
      <c r="H2">
        <v>905</v>
      </c>
      <c r="I2" s="53">
        <v>2.7</v>
      </c>
      <c r="J2" s="53">
        <v>0.6</v>
      </c>
      <c r="K2" s="2"/>
      <c r="L2" s="2"/>
      <c r="M2" s="2"/>
      <c r="N2" s="2"/>
      <c r="O2" s="2"/>
      <c r="P2" s="2"/>
      <c r="Q2" s="2"/>
      <c r="R2" s="2"/>
      <c r="S2" s="2"/>
      <c r="T2" s="2"/>
      <c r="U2" s="2"/>
      <c r="V2" s="2"/>
      <c r="W2" s="2"/>
      <c r="X2" s="2"/>
      <c r="Y2" s="2"/>
      <c r="Z2" s="2"/>
      <c r="AA2" s="2"/>
      <c r="AB2" s="2"/>
      <c r="AC2" s="2"/>
    </row>
    <row r="3" spans="1:29">
      <c r="A3" t="s">
        <v>10</v>
      </c>
      <c r="B3" t="s">
        <v>11</v>
      </c>
      <c r="C3">
        <v>961</v>
      </c>
      <c r="D3">
        <v>939</v>
      </c>
      <c r="E3">
        <v>963</v>
      </c>
      <c r="F3">
        <v>941</v>
      </c>
      <c r="G3">
        <v>955</v>
      </c>
      <c r="H3">
        <v>935</v>
      </c>
      <c r="I3" s="53">
        <v>5.8</v>
      </c>
      <c r="J3" s="53">
        <v>1.8</v>
      </c>
      <c r="K3" s="2"/>
      <c r="L3" s="2"/>
      <c r="M3" s="2"/>
      <c r="N3" s="2"/>
      <c r="O3" s="2"/>
      <c r="P3" s="2"/>
      <c r="Q3" s="2"/>
      <c r="R3" s="2"/>
      <c r="S3" s="2"/>
      <c r="T3" s="2"/>
      <c r="U3" s="2"/>
      <c r="V3" s="2"/>
      <c r="W3" s="2"/>
      <c r="X3" s="2"/>
      <c r="Y3" s="2"/>
      <c r="Z3" s="2"/>
      <c r="AA3" s="2"/>
      <c r="AB3" s="2"/>
      <c r="AC3" s="2"/>
    </row>
    <row r="4" spans="1:29">
      <c r="A4" t="s">
        <v>10</v>
      </c>
      <c r="B4" t="s">
        <v>12</v>
      </c>
      <c r="C4">
        <v>964</v>
      </c>
      <c r="D4">
        <v>972</v>
      </c>
      <c r="E4">
        <v>960</v>
      </c>
      <c r="F4">
        <v>975</v>
      </c>
      <c r="G4">
        <v>980</v>
      </c>
      <c r="H4">
        <v>957</v>
      </c>
      <c r="I4" s="53">
        <v>3.5</v>
      </c>
      <c r="J4" s="53">
        <v>7.4</v>
      </c>
      <c r="K4" s="2"/>
      <c r="L4" s="2"/>
      <c r="M4" s="2"/>
      <c r="N4" s="2"/>
      <c r="O4" s="2"/>
      <c r="P4" s="2"/>
      <c r="Q4" s="2"/>
      <c r="R4" s="2"/>
      <c r="S4" s="2"/>
      <c r="T4" s="2"/>
      <c r="U4" s="2"/>
      <c r="V4" s="2"/>
      <c r="W4" s="2"/>
      <c r="X4" s="2"/>
      <c r="Y4" s="2"/>
      <c r="Z4" s="2"/>
      <c r="AA4" s="2"/>
      <c r="AB4" s="2"/>
      <c r="AC4" s="2"/>
    </row>
    <row r="5" spans="1:29">
      <c r="A5" t="s">
        <v>10</v>
      </c>
      <c r="B5" t="s">
        <v>13</v>
      </c>
      <c r="C5">
        <v>965</v>
      </c>
      <c r="D5">
        <v>962</v>
      </c>
      <c r="E5">
        <v>967</v>
      </c>
      <c r="F5">
        <v>964</v>
      </c>
      <c r="G5">
        <v>943</v>
      </c>
      <c r="H5">
        <v>944</v>
      </c>
      <c r="I5" s="53">
        <v>0.4</v>
      </c>
      <c r="J5" s="53">
        <v>3.1</v>
      </c>
      <c r="K5" s="2"/>
      <c r="L5" s="2"/>
      <c r="M5" s="2"/>
      <c r="N5" s="2"/>
      <c r="O5" s="2"/>
      <c r="P5" s="2"/>
      <c r="Q5" s="2"/>
      <c r="R5" s="2"/>
      <c r="S5" s="2"/>
      <c r="T5" s="2"/>
      <c r="U5" s="2"/>
      <c r="V5" s="2"/>
      <c r="W5" s="2"/>
      <c r="X5" s="2"/>
      <c r="Y5" s="2"/>
      <c r="Z5" s="2"/>
      <c r="AA5" s="2"/>
      <c r="AB5" s="2"/>
      <c r="AC5" s="2"/>
    </row>
    <row r="6" spans="1:29">
      <c r="A6" t="s">
        <v>10</v>
      </c>
      <c r="B6" t="s">
        <v>14</v>
      </c>
      <c r="C6">
        <v>942</v>
      </c>
      <c r="D6">
        <v>935</v>
      </c>
      <c r="E6">
        <v>944</v>
      </c>
      <c r="F6">
        <v>938</v>
      </c>
      <c r="G6">
        <v>924</v>
      </c>
      <c r="H6">
        <v>912</v>
      </c>
      <c r="I6" s="53">
        <v>1.8</v>
      </c>
      <c r="J6" s="53">
        <v>2.4</v>
      </c>
      <c r="K6" s="2"/>
      <c r="L6" s="2"/>
      <c r="M6" s="2"/>
      <c r="N6" s="2"/>
      <c r="O6" s="2"/>
      <c r="P6" s="2"/>
      <c r="Q6" s="2"/>
      <c r="R6" s="2"/>
      <c r="S6" s="2"/>
      <c r="T6" s="2"/>
      <c r="U6" s="2"/>
      <c r="V6" s="2"/>
      <c r="W6" s="2"/>
      <c r="X6" s="2"/>
      <c r="Y6" s="2"/>
      <c r="Z6" s="2"/>
      <c r="AA6" s="2"/>
      <c r="AB6" s="2"/>
      <c r="AC6" s="2"/>
    </row>
    <row r="7" spans="1:29">
      <c r="A7" t="s">
        <v>10</v>
      </c>
      <c r="B7" t="s">
        <v>15</v>
      </c>
      <c r="C7">
        <v>975</v>
      </c>
      <c r="D7">
        <v>969</v>
      </c>
      <c r="E7">
        <v>982</v>
      </c>
      <c r="F7">
        <v>977</v>
      </c>
      <c r="G7">
        <v>938</v>
      </c>
      <c r="H7">
        <v>937</v>
      </c>
      <c r="I7" s="53">
        <v>2.2999999999999998</v>
      </c>
      <c r="J7" s="53">
        <v>1.4</v>
      </c>
      <c r="K7" s="2"/>
      <c r="L7" s="2"/>
      <c r="M7" s="2"/>
      <c r="N7" s="2"/>
      <c r="O7" s="2"/>
      <c r="P7" s="2"/>
      <c r="Q7" s="2"/>
      <c r="R7" s="2"/>
      <c r="S7" s="2"/>
      <c r="T7" s="2"/>
      <c r="U7" s="2"/>
      <c r="V7" s="2"/>
      <c r="W7" s="2"/>
      <c r="X7" s="2"/>
      <c r="Y7" s="2"/>
      <c r="Z7" s="2"/>
      <c r="AA7" s="2"/>
      <c r="AB7" s="2"/>
      <c r="AC7" s="2"/>
    </row>
    <row r="8" spans="1:29">
      <c r="A8" t="s">
        <v>10</v>
      </c>
      <c r="B8" t="s">
        <v>16</v>
      </c>
      <c r="C8">
        <v>938</v>
      </c>
      <c r="D8">
        <v>942</v>
      </c>
      <c r="E8">
        <v>952</v>
      </c>
      <c r="F8">
        <v>945</v>
      </c>
      <c r="G8">
        <v>924</v>
      </c>
      <c r="H8">
        <v>940</v>
      </c>
      <c r="I8" s="53">
        <v>3.3</v>
      </c>
      <c r="J8" s="53">
        <v>2.5</v>
      </c>
      <c r="K8" s="2"/>
      <c r="L8" s="2"/>
      <c r="M8" s="2"/>
      <c r="N8" s="2"/>
      <c r="O8" s="2"/>
      <c r="P8" s="2"/>
      <c r="Q8" s="2"/>
      <c r="R8" s="2"/>
      <c r="S8" s="2"/>
      <c r="T8" s="2"/>
      <c r="U8" s="2"/>
      <c r="V8" s="2"/>
      <c r="W8" s="2"/>
      <c r="X8" s="2"/>
      <c r="Y8" s="2"/>
      <c r="Z8" s="2"/>
      <c r="AA8" s="2"/>
      <c r="AB8" s="2"/>
      <c r="AC8" s="2"/>
    </row>
    <row r="9" spans="1:29">
      <c r="A9" t="s">
        <v>10</v>
      </c>
      <c r="B9" t="s">
        <v>17</v>
      </c>
      <c r="C9">
        <v>883</v>
      </c>
      <c r="D9">
        <v>890</v>
      </c>
      <c r="E9">
        <v>906</v>
      </c>
      <c r="F9">
        <v>914</v>
      </c>
      <c r="G9">
        <v>837</v>
      </c>
      <c r="H9">
        <v>852</v>
      </c>
      <c r="I9" s="53">
        <v>3.3</v>
      </c>
      <c r="J9" s="53">
        <v>4.2</v>
      </c>
      <c r="K9" s="2"/>
      <c r="L9" s="2"/>
      <c r="M9" s="2"/>
      <c r="N9" s="2"/>
      <c r="O9" s="2"/>
      <c r="P9" s="2"/>
      <c r="Q9" s="2"/>
      <c r="R9" s="2"/>
      <c r="S9" s="2"/>
      <c r="T9" s="2"/>
      <c r="U9" s="2"/>
      <c r="V9" s="2"/>
      <c r="W9" s="2"/>
      <c r="X9" s="2"/>
      <c r="Y9" s="2"/>
      <c r="Z9" s="2"/>
      <c r="AA9" s="2"/>
      <c r="AB9" s="2"/>
      <c r="AC9" s="2"/>
    </row>
    <row r="10" spans="1:29">
      <c r="A10" t="s">
        <v>10</v>
      </c>
      <c r="B10" t="s">
        <v>18</v>
      </c>
      <c r="C10">
        <v>819</v>
      </c>
      <c r="D10">
        <v>834</v>
      </c>
      <c r="E10">
        <v>823</v>
      </c>
      <c r="F10">
        <v>835</v>
      </c>
      <c r="G10">
        <v>808</v>
      </c>
      <c r="H10">
        <v>832</v>
      </c>
      <c r="I10" s="53">
        <v>5.4</v>
      </c>
      <c r="J10" s="53">
        <v>5.0999999999999996</v>
      </c>
      <c r="K10" s="2"/>
      <c r="L10" s="2"/>
      <c r="M10" s="2"/>
      <c r="N10" s="2"/>
      <c r="O10" s="2"/>
      <c r="P10" s="2"/>
      <c r="Q10" s="2"/>
      <c r="R10" s="2"/>
      <c r="S10" s="2"/>
      <c r="T10" s="2"/>
      <c r="U10" s="2"/>
      <c r="V10" s="2"/>
      <c r="W10" s="2"/>
      <c r="X10" s="2"/>
      <c r="Y10" s="2"/>
      <c r="Z10" s="2"/>
      <c r="AA10" s="2"/>
      <c r="AB10" s="2"/>
      <c r="AC10" s="2"/>
    </row>
    <row r="11" spans="1:29">
      <c r="A11" t="s">
        <v>10</v>
      </c>
      <c r="B11" t="s">
        <v>19</v>
      </c>
      <c r="C11">
        <v>896</v>
      </c>
      <c r="D11">
        <v>909</v>
      </c>
      <c r="E11">
        <v>900</v>
      </c>
      <c r="F11">
        <v>912</v>
      </c>
      <c r="G11">
        <v>844</v>
      </c>
      <c r="H11">
        <v>881</v>
      </c>
      <c r="I11" s="53">
        <v>6.9</v>
      </c>
      <c r="J11" s="53">
        <v>8</v>
      </c>
      <c r="K11" s="2"/>
      <c r="L11" s="2"/>
      <c r="M11" s="2"/>
      <c r="N11" s="2"/>
      <c r="O11" s="2"/>
      <c r="P11" s="2"/>
      <c r="Q11" s="2"/>
      <c r="R11" s="2"/>
      <c r="S11" s="2"/>
      <c r="T11" s="2"/>
      <c r="U11" s="2"/>
      <c r="V11" s="2"/>
      <c r="W11" s="2"/>
      <c r="X11" s="2"/>
      <c r="Y11" s="2"/>
      <c r="Z11" s="2"/>
      <c r="AA11" s="2"/>
      <c r="AB11" s="2"/>
      <c r="AC11" s="2"/>
    </row>
    <row r="12" spans="1:29">
      <c r="A12" t="s">
        <v>10</v>
      </c>
      <c r="B12" t="s">
        <v>20</v>
      </c>
      <c r="C12">
        <v>941</v>
      </c>
      <c r="D12">
        <v>862</v>
      </c>
      <c r="E12">
        <v>957</v>
      </c>
      <c r="F12">
        <v>865</v>
      </c>
      <c r="G12">
        <v>873</v>
      </c>
      <c r="H12">
        <v>850</v>
      </c>
      <c r="I12" s="53">
        <v>3.1</v>
      </c>
      <c r="J12" s="53">
        <v>5.2</v>
      </c>
      <c r="K12" s="2"/>
      <c r="L12" s="2"/>
      <c r="M12" s="2"/>
      <c r="N12" s="2"/>
      <c r="O12" s="2"/>
      <c r="P12" s="2"/>
      <c r="Q12" s="2"/>
      <c r="R12" s="2"/>
      <c r="S12" s="2"/>
      <c r="T12" s="2"/>
      <c r="U12" s="2"/>
      <c r="V12" s="2"/>
      <c r="W12" s="2"/>
      <c r="X12" s="2"/>
      <c r="Y12" s="2"/>
      <c r="Z12" s="2"/>
      <c r="AA12" s="2"/>
      <c r="AB12" s="2"/>
      <c r="AC12" s="2"/>
    </row>
    <row r="13" spans="1:29">
      <c r="A13" t="s">
        <v>10</v>
      </c>
      <c r="B13" t="s">
        <v>21</v>
      </c>
      <c r="C13">
        <v>965</v>
      </c>
      <c r="D13">
        <v>948</v>
      </c>
      <c r="E13">
        <v>973</v>
      </c>
      <c r="F13">
        <v>957</v>
      </c>
      <c r="G13">
        <v>930</v>
      </c>
      <c r="H13">
        <v>908</v>
      </c>
      <c r="I13" s="53">
        <v>0</v>
      </c>
      <c r="J13" s="53">
        <v>2.5</v>
      </c>
      <c r="K13" s="2"/>
      <c r="L13" s="2"/>
      <c r="M13" s="2"/>
      <c r="N13" s="2"/>
      <c r="O13" s="2"/>
      <c r="P13" s="2"/>
      <c r="Q13" s="2"/>
      <c r="R13" s="2"/>
      <c r="S13" s="2"/>
      <c r="T13" s="2"/>
      <c r="U13" s="2"/>
      <c r="V13" s="2"/>
      <c r="W13" s="2"/>
      <c r="X13" s="2"/>
      <c r="Y13" s="2"/>
      <c r="Z13" s="2"/>
      <c r="AA13" s="2"/>
      <c r="AB13" s="2"/>
      <c r="AC13" s="2"/>
    </row>
    <row r="14" spans="1:29">
      <c r="A14" t="s">
        <v>10</v>
      </c>
      <c r="B14" t="s">
        <v>22</v>
      </c>
      <c r="C14">
        <v>946</v>
      </c>
      <c r="D14">
        <v>948</v>
      </c>
      <c r="E14">
        <v>949</v>
      </c>
      <c r="F14">
        <v>950</v>
      </c>
      <c r="G14">
        <v>940</v>
      </c>
      <c r="H14">
        <v>946</v>
      </c>
      <c r="I14" s="53">
        <v>2.6</v>
      </c>
      <c r="J14" s="53">
        <v>2</v>
      </c>
      <c r="K14" s="2"/>
      <c r="L14" s="2"/>
      <c r="M14" s="2"/>
      <c r="N14" s="2"/>
      <c r="O14" s="2"/>
      <c r="P14" s="2"/>
      <c r="Q14" s="2"/>
      <c r="R14" s="2"/>
      <c r="S14" s="2"/>
      <c r="T14" s="2"/>
      <c r="U14" s="2"/>
      <c r="V14" s="2"/>
      <c r="W14" s="2"/>
      <c r="X14" s="2"/>
      <c r="Y14" s="2"/>
      <c r="Z14" s="2"/>
      <c r="AA14" s="2"/>
      <c r="AB14" s="2"/>
      <c r="AC14" s="2"/>
    </row>
    <row r="15" spans="1:29">
      <c r="A15" t="s">
        <v>10</v>
      </c>
      <c r="B15" t="s">
        <v>23</v>
      </c>
      <c r="C15">
        <v>960</v>
      </c>
      <c r="D15">
        <v>964</v>
      </c>
      <c r="E15">
        <v>961</v>
      </c>
      <c r="F15">
        <v>965</v>
      </c>
      <c r="G15">
        <v>958</v>
      </c>
      <c r="H15">
        <v>963</v>
      </c>
      <c r="I15" s="53">
        <v>12.4</v>
      </c>
      <c r="J15" s="53">
        <v>10.199999999999999</v>
      </c>
      <c r="K15" s="2"/>
      <c r="L15" s="2"/>
      <c r="M15" s="2"/>
      <c r="N15" s="2"/>
      <c r="O15" s="2"/>
      <c r="P15" s="2"/>
      <c r="Q15" s="2"/>
      <c r="R15" s="2"/>
      <c r="S15" s="2"/>
      <c r="T15" s="2"/>
      <c r="U15" s="2"/>
      <c r="V15" s="2"/>
      <c r="W15" s="2"/>
      <c r="X15" s="2"/>
      <c r="Y15" s="2"/>
      <c r="Z15" s="2"/>
      <c r="AA15" s="2"/>
      <c r="AB15" s="2"/>
      <c r="AC15" s="2"/>
    </row>
    <row r="16" spans="1:29">
      <c r="A16" t="s">
        <v>10</v>
      </c>
      <c r="B16" t="s">
        <v>24</v>
      </c>
      <c r="C16">
        <v>932</v>
      </c>
      <c r="D16">
        <v>918</v>
      </c>
      <c r="E16">
        <v>939</v>
      </c>
      <c r="F16">
        <v>923</v>
      </c>
      <c r="G16">
        <v>907</v>
      </c>
      <c r="H16">
        <v>901</v>
      </c>
      <c r="I16" s="53">
        <v>1.4</v>
      </c>
      <c r="J16" s="53">
        <v>1.4</v>
      </c>
      <c r="K16" s="2"/>
      <c r="L16" s="2"/>
      <c r="M16" s="2"/>
      <c r="N16" s="2"/>
      <c r="O16" s="2"/>
      <c r="P16" s="2"/>
      <c r="Q16" s="2"/>
      <c r="R16" s="2"/>
      <c r="S16" s="2"/>
      <c r="T16" s="2"/>
      <c r="U16" s="2"/>
      <c r="V16" s="2"/>
      <c r="W16" s="2"/>
      <c r="X16" s="2"/>
      <c r="Y16" s="2"/>
      <c r="Z16" s="2"/>
      <c r="AA16" s="2"/>
      <c r="AB16" s="2"/>
      <c r="AC16" s="2"/>
    </row>
    <row r="17" spans="1:29">
      <c r="A17" t="s">
        <v>10</v>
      </c>
      <c r="B17" t="s">
        <v>25</v>
      </c>
      <c r="C17">
        <v>913</v>
      </c>
      <c r="D17">
        <v>894</v>
      </c>
      <c r="E17">
        <v>916</v>
      </c>
      <c r="F17">
        <v>890</v>
      </c>
      <c r="G17">
        <v>908</v>
      </c>
      <c r="H17">
        <v>899</v>
      </c>
      <c r="I17" s="53">
        <v>3.9</v>
      </c>
      <c r="J17" s="53">
        <v>1</v>
      </c>
      <c r="K17" s="2"/>
      <c r="L17" s="2"/>
      <c r="M17" s="2"/>
      <c r="N17" s="2"/>
      <c r="O17" s="2"/>
      <c r="P17" s="2"/>
      <c r="Q17" s="2"/>
      <c r="R17" s="2"/>
      <c r="S17" s="2"/>
      <c r="T17" s="2"/>
      <c r="U17" s="2"/>
      <c r="V17" s="2"/>
      <c r="W17" s="2"/>
      <c r="X17" s="2"/>
      <c r="Y17" s="2"/>
      <c r="Z17" s="2"/>
      <c r="AA17" s="2"/>
      <c r="AB17" s="2"/>
      <c r="AC17" s="2"/>
    </row>
    <row r="18" spans="1:29">
      <c r="A18" t="s">
        <v>10</v>
      </c>
      <c r="B18" t="s">
        <v>26</v>
      </c>
      <c r="C18">
        <v>957</v>
      </c>
      <c r="D18">
        <v>930</v>
      </c>
      <c r="E18">
        <v>956</v>
      </c>
      <c r="F18">
        <v>923</v>
      </c>
      <c r="G18">
        <v>961</v>
      </c>
      <c r="H18">
        <v>949</v>
      </c>
      <c r="I18" s="53">
        <v>5.9</v>
      </c>
      <c r="J18" s="53">
        <v>2.2000000000000002</v>
      </c>
      <c r="K18" s="2"/>
      <c r="L18" s="2"/>
      <c r="M18" s="2"/>
      <c r="N18" s="2"/>
      <c r="O18" s="2"/>
      <c r="P18" s="2"/>
      <c r="Q18" s="2"/>
      <c r="R18" s="2"/>
      <c r="S18" s="2"/>
      <c r="T18" s="2"/>
      <c r="U18" s="2"/>
      <c r="V18" s="2"/>
      <c r="W18" s="2"/>
      <c r="X18" s="2"/>
      <c r="Y18" s="2"/>
      <c r="Z18" s="2"/>
      <c r="AA18" s="2"/>
      <c r="AB18" s="2"/>
      <c r="AC18" s="2"/>
    </row>
    <row r="19" spans="1:29">
      <c r="A19" t="s">
        <v>10</v>
      </c>
      <c r="B19" t="s">
        <v>27</v>
      </c>
      <c r="C19">
        <v>973</v>
      </c>
      <c r="D19">
        <v>970</v>
      </c>
      <c r="E19">
        <v>973</v>
      </c>
      <c r="F19">
        <v>972</v>
      </c>
      <c r="G19">
        <v>969</v>
      </c>
      <c r="H19">
        <v>954</v>
      </c>
      <c r="I19" s="53">
        <v>2</v>
      </c>
      <c r="J19" s="53">
        <v>0.1</v>
      </c>
      <c r="K19" s="2"/>
      <c r="L19" s="2"/>
      <c r="M19" s="2"/>
      <c r="N19" s="2"/>
      <c r="O19" s="2"/>
      <c r="P19" s="2"/>
      <c r="Q19" s="2"/>
      <c r="R19" s="2"/>
      <c r="S19" s="2"/>
      <c r="T19" s="2"/>
      <c r="U19" s="2"/>
      <c r="V19" s="2"/>
      <c r="W19" s="2"/>
      <c r="X19" s="2"/>
      <c r="Y19" s="2"/>
      <c r="Z19" s="2"/>
      <c r="AA19" s="2"/>
      <c r="AB19" s="2"/>
      <c r="AC19" s="2"/>
    </row>
    <row r="20" spans="1:29">
      <c r="A20" t="s">
        <v>10</v>
      </c>
      <c r="B20" t="s">
        <v>28</v>
      </c>
      <c r="C20">
        <v>964</v>
      </c>
      <c r="D20">
        <v>970</v>
      </c>
      <c r="E20">
        <v>965</v>
      </c>
      <c r="F20">
        <v>966</v>
      </c>
      <c r="G20">
        <v>963</v>
      </c>
      <c r="H20">
        <v>974</v>
      </c>
      <c r="I20" s="53">
        <v>0.6</v>
      </c>
      <c r="J20" s="53">
        <v>3</v>
      </c>
      <c r="K20" s="2"/>
      <c r="L20" s="2"/>
      <c r="M20" s="2"/>
      <c r="N20" s="2"/>
      <c r="O20" s="2"/>
      <c r="P20" s="2"/>
      <c r="Q20" s="2"/>
      <c r="R20" s="2"/>
      <c r="S20" s="2"/>
      <c r="T20" s="2"/>
      <c r="U20" s="2"/>
      <c r="V20" s="2"/>
      <c r="W20" s="2"/>
      <c r="X20" s="2"/>
      <c r="Y20" s="2"/>
      <c r="Z20" s="2"/>
      <c r="AA20" s="2"/>
      <c r="AB20" s="2"/>
      <c r="AC20" s="2"/>
    </row>
    <row r="21" spans="1:29">
      <c r="A21" t="s">
        <v>10</v>
      </c>
      <c r="B21" t="s">
        <v>29</v>
      </c>
      <c r="C21">
        <v>964</v>
      </c>
      <c r="D21">
        <v>943</v>
      </c>
      <c r="E21">
        <v>969</v>
      </c>
      <c r="F21">
        <v>933</v>
      </c>
      <c r="G21">
        <v>939</v>
      </c>
      <c r="H21">
        <v>973</v>
      </c>
      <c r="I21" s="53">
        <v>1.3</v>
      </c>
      <c r="J21" s="53">
        <v>6.6</v>
      </c>
      <c r="K21" s="2"/>
      <c r="L21" s="2"/>
      <c r="M21" s="2"/>
      <c r="N21" s="2"/>
      <c r="O21" s="2"/>
      <c r="P21" s="2"/>
      <c r="Q21" s="2"/>
      <c r="R21" s="2"/>
      <c r="S21" s="2"/>
      <c r="T21" s="2"/>
      <c r="U21" s="2"/>
      <c r="V21" s="2"/>
      <c r="W21" s="2"/>
      <c r="X21" s="2"/>
      <c r="Y21" s="2"/>
      <c r="Z21" s="2"/>
      <c r="AA21" s="2"/>
      <c r="AB21" s="2"/>
      <c r="AC21" s="2"/>
    </row>
    <row r="22" spans="1:29">
      <c r="A22" t="s">
        <v>10</v>
      </c>
      <c r="B22" t="s">
        <v>30</v>
      </c>
      <c r="C22">
        <v>953</v>
      </c>
      <c r="D22">
        <v>941</v>
      </c>
      <c r="E22">
        <v>955</v>
      </c>
      <c r="F22">
        <v>946</v>
      </c>
      <c r="G22">
        <v>933</v>
      </c>
      <c r="H22">
        <v>913</v>
      </c>
      <c r="I22" s="53">
        <v>4</v>
      </c>
      <c r="J22" s="53">
        <v>2</v>
      </c>
      <c r="K22" s="2"/>
      <c r="L22" s="2"/>
      <c r="M22" s="2"/>
      <c r="N22" s="2"/>
      <c r="O22" s="2"/>
      <c r="P22" s="2"/>
      <c r="Q22" s="2"/>
      <c r="R22" s="2"/>
      <c r="S22" s="2"/>
      <c r="T22" s="2"/>
      <c r="U22" s="2"/>
      <c r="V22" s="2"/>
      <c r="W22" s="2"/>
      <c r="X22" s="2"/>
      <c r="Y22" s="2"/>
      <c r="Z22" s="2"/>
      <c r="AA22" s="2"/>
      <c r="AB22" s="2"/>
      <c r="AC22" s="2"/>
    </row>
    <row r="23" spans="1:29">
      <c r="A23" t="s">
        <v>10</v>
      </c>
      <c r="B23" t="s">
        <v>31</v>
      </c>
      <c r="C23">
        <v>798</v>
      </c>
      <c r="D23">
        <v>846</v>
      </c>
      <c r="E23">
        <v>799</v>
      </c>
      <c r="F23">
        <v>844</v>
      </c>
      <c r="G23">
        <v>796</v>
      </c>
      <c r="H23">
        <v>852</v>
      </c>
      <c r="I23" s="53">
        <v>5.8</v>
      </c>
      <c r="J23" s="53">
        <v>9.8000000000000007</v>
      </c>
      <c r="K23" s="2"/>
      <c r="L23" s="2"/>
      <c r="M23" s="2"/>
      <c r="N23" s="2"/>
      <c r="O23" s="2"/>
      <c r="P23" s="2"/>
      <c r="Q23" s="2"/>
      <c r="R23" s="2"/>
      <c r="S23" s="2"/>
      <c r="T23" s="2"/>
      <c r="U23" s="2"/>
      <c r="V23" s="2"/>
      <c r="W23" s="2"/>
      <c r="X23" s="2"/>
      <c r="Y23" s="2"/>
      <c r="Z23" s="2"/>
      <c r="AA23" s="2"/>
      <c r="AB23" s="2"/>
      <c r="AC23" s="2"/>
    </row>
    <row r="24" spans="1:29">
      <c r="A24" t="s">
        <v>10</v>
      </c>
      <c r="B24" t="s">
        <v>32</v>
      </c>
      <c r="C24">
        <v>909</v>
      </c>
      <c r="D24">
        <v>888</v>
      </c>
      <c r="E24">
        <v>914</v>
      </c>
      <c r="F24">
        <v>892</v>
      </c>
      <c r="G24">
        <v>887</v>
      </c>
      <c r="H24">
        <v>874</v>
      </c>
      <c r="I24" s="53">
        <v>4.5</v>
      </c>
      <c r="J24" s="53">
        <v>1.3</v>
      </c>
      <c r="K24" s="2"/>
      <c r="L24" s="2"/>
      <c r="M24" s="2"/>
      <c r="N24" s="2"/>
      <c r="O24" s="2"/>
      <c r="P24" s="2"/>
      <c r="Q24" s="2"/>
      <c r="R24" s="2"/>
      <c r="S24" s="2"/>
      <c r="T24" s="2"/>
      <c r="U24" s="2"/>
      <c r="V24" s="2"/>
      <c r="W24" s="2"/>
      <c r="X24" s="2"/>
      <c r="Y24" s="2"/>
      <c r="Z24" s="2"/>
      <c r="AA24" s="2"/>
      <c r="AB24" s="2"/>
      <c r="AC24" s="2"/>
    </row>
    <row r="25" spans="1:29">
      <c r="A25" t="s">
        <v>10</v>
      </c>
      <c r="B25" t="s">
        <v>33</v>
      </c>
      <c r="C25">
        <v>963</v>
      </c>
      <c r="D25">
        <v>957</v>
      </c>
      <c r="E25">
        <v>966</v>
      </c>
      <c r="F25">
        <v>964</v>
      </c>
      <c r="G25">
        <v>922</v>
      </c>
      <c r="H25">
        <v>934</v>
      </c>
      <c r="I25" s="53">
        <v>7</v>
      </c>
      <c r="J25" s="53">
        <v>9.1</v>
      </c>
      <c r="K25" s="2"/>
      <c r="L25" s="2"/>
      <c r="M25" s="2"/>
      <c r="N25" s="2"/>
      <c r="O25" s="2"/>
      <c r="P25" s="2"/>
      <c r="Q25" s="2"/>
      <c r="R25" s="2"/>
      <c r="S25" s="2"/>
      <c r="T25" s="2"/>
      <c r="U25" s="2"/>
      <c r="V25" s="2"/>
      <c r="W25" s="2"/>
      <c r="X25" s="2"/>
      <c r="Y25" s="2"/>
      <c r="Z25" s="2"/>
      <c r="AA25" s="2"/>
      <c r="AB25" s="2"/>
      <c r="AC25" s="2"/>
    </row>
    <row r="26" spans="1:29">
      <c r="A26" t="s">
        <v>10</v>
      </c>
      <c r="B26" t="s">
        <v>34</v>
      </c>
      <c r="C26">
        <v>942</v>
      </c>
      <c r="D26">
        <v>943</v>
      </c>
      <c r="E26">
        <v>933</v>
      </c>
      <c r="F26">
        <v>936</v>
      </c>
      <c r="G26">
        <v>955</v>
      </c>
      <c r="H26">
        <v>952</v>
      </c>
      <c r="I26" s="53">
        <v>5.6</v>
      </c>
      <c r="J26" s="53">
        <v>4.8</v>
      </c>
      <c r="K26" s="2"/>
      <c r="L26" s="2"/>
      <c r="M26" s="2"/>
      <c r="N26" s="2"/>
      <c r="O26" s="2"/>
      <c r="P26" s="2"/>
      <c r="Q26" s="2"/>
      <c r="R26" s="2"/>
      <c r="S26" s="2"/>
      <c r="T26" s="2"/>
      <c r="U26" s="2"/>
      <c r="V26" s="2"/>
      <c r="W26" s="2"/>
      <c r="X26" s="2"/>
      <c r="Y26" s="2"/>
      <c r="Z26" s="2"/>
      <c r="AA26" s="2"/>
      <c r="AB26" s="2"/>
      <c r="AC26" s="2"/>
    </row>
    <row r="27" spans="1:29">
      <c r="A27" t="s">
        <v>10</v>
      </c>
      <c r="B27" t="s">
        <v>35</v>
      </c>
      <c r="C27">
        <v>966</v>
      </c>
      <c r="D27">
        <v>957</v>
      </c>
      <c r="E27">
        <v>968</v>
      </c>
      <c r="F27">
        <v>960</v>
      </c>
      <c r="G27">
        <v>948</v>
      </c>
      <c r="H27">
        <v>947</v>
      </c>
      <c r="I27" s="53">
        <v>0.3</v>
      </c>
      <c r="J27" s="53">
        <v>1.9</v>
      </c>
      <c r="K27" s="2"/>
      <c r="L27" s="2"/>
      <c r="M27" s="2"/>
      <c r="N27" s="2"/>
      <c r="O27" s="2"/>
      <c r="P27" s="2"/>
      <c r="Q27" s="2"/>
      <c r="R27" s="2"/>
      <c r="S27" s="2"/>
      <c r="T27" s="2"/>
      <c r="U27" s="2"/>
      <c r="V27" s="2"/>
      <c r="W27" s="2"/>
      <c r="X27" s="2"/>
      <c r="Y27" s="2"/>
      <c r="Z27" s="2"/>
      <c r="AA27" s="2"/>
      <c r="AB27" s="2"/>
      <c r="AC27" s="2"/>
    </row>
    <row r="28" spans="1:29">
      <c r="A28" t="s">
        <v>10</v>
      </c>
      <c r="B28" t="s">
        <v>36</v>
      </c>
      <c r="C28">
        <v>916</v>
      </c>
      <c r="D28">
        <v>902</v>
      </c>
      <c r="E28">
        <v>921</v>
      </c>
      <c r="F28">
        <v>906</v>
      </c>
      <c r="G28">
        <v>890</v>
      </c>
      <c r="H28">
        <v>885</v>
      </c>
      <c r="I28" s="53">
        <v>1.1000000000000001</v>
      </c>
      <c r="J28" s="53">
        <v>2</v>
      </c>
      <c r="K28" s="2"/>
      <c r="L28" s="2"/>
      <c r="M28" s="2"/>
      <c r="N28" s="2"/>
      <c r="O28" s="2"/>
      <c r="P28" s="2"/>
      <c r="Q28" s="2"/>
      <c r="R28" s="2"/>
      <c r="S28" s="2"/>
      <c r="T28" s="2"/>
      <c r="U28" s="2"/>
      <c r="V28" s="2"/>
      <c r="W28" s="2"/>
      <c r="X28" s="2"/>
      <c r="Y28" s="2"/>
      <c r="Z28" s="2"/>
      <c r="AA28" s="2"/>
      <c r="AB28" s="2"/>
      <c r="AC28" s="2"/>
    </row>
    <row r="29" spans="1:29">
      <c r="A29" t="s">
        <v>10</v>
      </c>
      <c r="B29" t="s">
        <v>37</v>
      </c>
      <c r="C29">
        <v>908</v>
      </c>
      <c r="D29">
        <v>890</v>
      </c>
      <c r="E29">
        <v>918</v>
      </c>
      <c r="F29">
        <v>899</v>
      </c>
      <c r="G29">
        <v>872</v>
      </c>
      <c r="H29">
        <v>868</v>
      </c>
      <c r="I29" s="53">
        <v>8.1999999999999993</v>
      </c>
      <c r="J29" s="53">
        <v>5.9</v>
      </c>
      <c r="K29" s="2"/>
      <c r="L29" s="2"/>
      <c r="M29" s="2"/>
      <c r="N29" s="2"/>
      <c r="O29" s="2"/>
      <c r="P29" s="2"/>
      <c r="Q29" s="2"/>
      <c r="R29" s="2"/>
      <c r="S29" s="2"/>
      <c r="T29" s="2"/>
      <c r="U29" s="2"/>
      <c r="V29" s="2"/>
      <c r="W29" s="2"/>
      <c r="X29" s="2"/>
      <c r="Y29" s="2"/>
      <c r="Z29" s="2"/>
      <c r="AA29" s="2"/>
      <c r="AB29" s="2"/>
      <c r="AC29" s="2"/>
    </row>
    <row r="30" spans="1:29">
      <c r="A30" t="s">
        <v>10</v>
      </c>
      <c r="B30" t="s">
        <v>38</v>
      </c>
      <c r="C30">
        <v>960</v>
      </c>
      <c r="D30">
        <v>956</v>
      </c>
      <c r="E30">
        <v>963</v>
      </c>
      <c r="F30">
        <v>959</v>
      </c>
      <c r="G30">
        <v>948</v>
      </c>
      <c r="H30">
        <v>947</v>
      </c>
      <c r="I30" s="53">
        <v>0.6</v>
      </c>
      <c r="J30" s="53">
        <v>2.7</v>
      </c>
      <c r="K30" s="2"/>
      <c r="L30" s="2"/>
      <c r="M30" s="2"/>
      <c r="N30" s="2"/>
      <c r="O30" s="2"/>
      <c r="P30" s="2"/>
      <c r="Q30" s="2"/>
      <c r="R30" s="2"/>
      <c r="S30" s="2"/>
      <c r="T30" s="2"/>
      <c r="U30" s="2"/>
      <c r="V30" s="2"/>
      <c r="W30" s="2"/>
      <c r="X30" s="2"/>
      <c r="Y30" s="2"/>
      <c r="Z30" s="2"/>
      <c r="AA30" s="2"/>
      <c r="AB30" s="2"/>
      <c r="AC30" s="2"/>
    </row>
    <row r="31" spans="1:29">
      <c r="A31" t="s">
        <v>39</v>
      </c>
      <c r="B31" t="s">
        <v>40</v>
      </c>
      <c r="C31">
        <v>957</v>
      </c>
      <c r="D31">
        <v>968</v>
      </c>
      <c r="E31">
        <v>966</v>
      </c>
      <c r="F31">
        <v>976</v>
      </c>
      <c r="G31">
        <v>936</v>
      </c>
      <c r="H31">
        <v>954</v>
      </c>
      <c r="I31" s="53">
        <v>9.5</v>
      </c>
      <c r="J31" s="53">
        <v>11.6</v>
      </c>
      <c r="K31" s="2"/>
      <c r="L31" s="2"/>
      <c r="M31" s="2"/>
      <c r="N31" s="2"/>
      <c r="O31" s="2"/>
      <c r="P31" s="2"/>
      <c r="Q31" s="2"/>
      <c r="R31" s="2"/>
      <c r="S31" s="2"/>
      <c r="T31" s="2"/>
      <c r="U31" s="2"/>
      <c r="V31" s="2"/>
      <c r="W31" s="2"/>
      <c r="X31" s="2"/>
      <c r="Y31" s="2"/>
      <c r="Z31" s="2"/>
      <c r="AA31" s="2"/>
      <c r="AB31" s="2"/>
      <c r="AC31" s="2"/>
    </row>
    <row r="32" spans="1:29">
      <c r="A32" t="s">
        <v>39</v>
      </c>
      <c r="B32" t="s">
        <v>41</v>
      </c>
      <c r="C32">
        <v>845</v>
      </c>
      <c r="D32">
        <v>880</v>
      </c>
      <c r="E32">
        <v>847</v>
      </c>
      <c r="F32">
        <v>871</v>
      </c>
      <c r="G32">
        <v>845</v>
      </c>
      <c r="H32">
        <v>880</v>
      </c>
      <c r="I32" s="53">
        <v>7</v>
      </c>
      <c r="J32" s="53">
        <v>8</v>
      </c>
      <c r="K32" s="2"/>
      <c r="L32" s="2"/>
      <c r="M32" s="2"/>
      <c r="N32" s="2"/>
      <c r="O32" s="2"/>
      <c r="P32" s="2"/>
      <c r="Q32" s="2"/>
      <c r="R32" s="2"/>
      <c r="S32" s="2"/>
      <c r="T32" s="2"/>
      <c r="U32" s="2"/>
      <c r="V32" s="2"/>
      <c r="W32" s="2"/>
      <c r="X32" s="2"/>
      <c r="Y32" s="2"/>
      <c r="Z32" s="2"/>
      <c r="AA32" s="2"/>
      <c r="AB32" s="2"/>
      <c r="AC32" s="2"/>
    </row>
    <row r="33" spans="1:29">
      <c r="A33" t="s">
        <v>39</v>
      </c>
      <c r="B33" t="s">
        <v>42</v>
      </c>
      <c r="C33">
        <v>979</v>
      </c>
      <c r="D33">
        <v>926</v>
      </c>
      <c r="E33">
        <v>1003</v>
      </c>
      <c r="F33">
        <v>970</v>
      </c>
      <c r="G33">
        <v>888</v>
      </c>
      <c r="H33">
        <v>872</v>
      </c>
      <c r="I33" s="53">
        <v>16.399999999999999</v>
      </c>
      <c r="J33" s="53">
        <v>17.100000000000001</v>
      </c>
      <c r="K33" s="2"/>
      <c r="L33" s="2"/>
      <c r="M33" s="2"/>
      <c r="N33" s="2"/>
      <c r="O33" s="2"/>
      <c r="P33" s="2"/>
      <c r="Q33" s="2"/>
      <c r="R33" s="2"/>
      <c r="S33" s="2"/>
      <c r="T33" s="2"/>
      <c r="U33" s="2"/>
      <c r="V33" s="2"/>
      <c r="W33" s="2"/>
      <c r="X33" s="2"/>
      <c r="Y33" s="2"/>
      <c r="Z33" s="2"/>
      <c r="AA33" s="2"/>
      <c r="AB33" s="2"/>
      <c r="AC33" s="2"/>
    </row>
    <row r="34" spans="1:29">
      <c r="A34" t="s">
        <v>39</v>
      </c>
      <c r="B34" t="s">
        <v>43</v>
      </c>
      <c r="C34">
        <v>926</v>
      </c>
      <c r="D34">
        <v>904</v>
      </c>
      <c r="E34">
        <v>916</v>
      </c>
      <c r="F34">
        <v>932</v>
      </c>
      <c r="G34">
        <v>943</v>
      </c>
      <c r="H34">
        <v>894</v>
      </c>
      <c r="I34" s="53">
        <v>31.6</v>
      </c>
      <c r="J34" s="53">
        <v>23.3</v>
      </c>
      <c r="K34" s="2"/>
      <c r="L34" s="2"/>
      <c r="M34" s="2"/>
      <c r="N34" s="2"/>
      <c r="O34" s="2"/>
      <c r="P34" s="2"/>
      <c r="Q34" s="2"/>
      <c r="R34" s="2"/>
      <c r="S34" s="2"/>
      <c r="T34" s="2"/>
      <c r="U34" s="2"/>
      <c r="V34" s="2"/>
      <c r="W34" s="2"/>
      <c r="X34" s="2"/>
      <c r="Y34" s="2"/>
      <c r="Z34" s="2"/>
      <c r="AA34" s="2"/>
      <c r="AB34" s="2"/>
      <c r="AC34" s="2"/>
    </row>
    <row r="35" spans="1:29">
      <c r="A35" t="s">
        <v>39</v>
      </c>
      <c r="B35" t="s">
        <v>44</v>
      </c>
      <c r="C35">
        <v>959</v>
      </c>
      <c r="D35">
        <v>911</v>
      </c>
      <c r="E35">
        <v>999</v>
      </c>
      <c r="F35">
        <v>911</v>
      </c>
      <c r="G35">
        <v>900</v>
      </c>
      <c r="H35">
        <v>911</v>
      </c>
      <c r="I35" s="53">
        <v>3.8</v>
      </c>
      <c r="J35" s="53">
        <v>1.1000000000000001</v>
      </c>
      <c r="K35" s="2"/>
      <c r="L35" s="2"/>
      <c r="M35" s="2"/>
      <c r="N35" s="2"/>
      <c r="O35" s="2"/>
      <c r="P35" s="2"/>
      <c r="Q35" s="2"/>
      <c r="R35" s="2"/>
      <c r="S35" s="2"/>
      <c r="T35" s="2"/>
      <c r="U35" s="2"/>
      <c r="V35" s="2"/>
      <c r="W35" s="2"/>
      <c r="X35" s="2"/>
      <c r="Y35" s="2"/>
      <c r="Z35" s="2"/>
      <c r="AA35" s="2"/>
      <c r="AB35" s="2"/>
      <c r="AC35" s="2"/>
    </row>
    <row r="36" spans="1:29">
      <c r="A36" t="s">
        <v>39</v>
      </c>
      <c r="B36" t="s">
        <v>45</v>
      </c>
      <c r="C36">
        <v>868</v>
      </c>
      <c r="D36">
        <v>871</v>
      </c>
      <c r="E36">
        <v>850</v>
      </c>
      <c r="F36">
        <v>814</v>
      </c>
      <c r="G36">
        <v>870</v>
      </c>
      <c r="H36">
        <v>873</v>
      </c>
      <c r="I36" s="53">
        <v>0.3</v>
      </c>
      <c r="J36" s="53">
        <v>5.4</v>
      </c>
      <c r="K36" s="2"/>
      <c r="L36" s="2"/>
      <c r="M36" s="2"/>
      <c r="N36" s="2"/>
      <c r="O36" s="2"/>
      <c r="P36" s="2"/>
      <c r="Q36" s="2"/>
      <c r="R36" s="2"/>
      <c r="S36" s="2"/>
      <c r="T36" s="2"/>
      <c r="U36" s="2"/>
      <c r="V36" s="2"/>
      <c r="W36" s="2"/>
      <c r="X36" s="2"/>
      <c r="Y36" s="2"/>
      <c r="Z36" s="2"/>
      <c r="AA36" s="2"/>
      <c r="AB36" s="2"/>
      <c r="AC36" s="2"/>
    </row>
    <row r="37" spans="1:29">
      <c r="A37" t="s">
        <v>39</v>
      </c>
      <c r="B37" t="s">
        <v>46</v>
      </c>
      <c r="C37">
        <v>967</v>
      </c>
      <c r="D37">
        <v>967</v>
      </c>
      <c r="E37">
        <v>967</v>
      </c>
      <c r="F37">
        <v>953</v>
      </c>
      <c r="G37">
        <v>967</v>
      </c>
      <c r="H37">
        <v>975</v>
      </c>
      <c r="I37" s="53">
        <v>7.2</v>
      </c>
      <c r="J37" s="53">
        <v>3.5</v>
      </c>
      <c r="K37" s="2"/>
      <c r="L37" s="2"/>
      <c r="M37" s="2"/>
      <c r="N37" s="2"/>
      <c r="O37" s="2"/>
      <c r="P37" s="2"/>
      <c r="Q37" s="2"/>
      <c r="R37" s="2"/>
      <c r="S37" s="2"/>
      <c r="T37" s="2"/>
      <c r="U37" s="2"/>
      <c r="V37" s="2"/>
      <c r="W37" s="2"/>
      <c r="X37" s="2"/>
      <c r="Y37" s="2"/>
      <c r="Z37" s="2"/>
      <c r="AA37" s="2"/>
      <c r="AB37" s="2"/>
      <c r="AC37" s="2"/>
    </row>
    <row r="38" spans="1:29">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row>
    <row r="39" spans="1:29">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row>
    <row r="40" spans="1:29">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row>
    <row r="41" spans="1:29">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row>
    <row r="42" spans="1:29">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row>
    <row r="43" spans="1:29">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row>
    <row r="44" spans="1:29">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row>
    <row r="45" spans="1:29">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row>
    <row r="46" spans="1:29">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row>
    <row r="47" spans="1:29">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row>
    <row r="48" spans="1:29">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row>
    <row r="49" spans="1:29">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row>
    <row r="50" spans="1:29">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row>
    <row r="51" spans="1:29">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row>
    <row r="52" spans="1:29">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row>
    <row r="53" spans="1:29">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row>
    <row r="54" spans="1:29">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row>
    <row r="55" spans="1:29">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row>
    <row r="56" spans="1:29">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row>
    <row r="57" spans="1:29">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row>
    <row r="58" spans="1:29">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row>
    <row r="59" spans="1:29">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row>
    <row r="60" spans="1:29">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row>
    <row r="61" spans="1:29">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row>
    <row r="62" spans="1:29">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row>
    <row r="63" spans="1:29">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row>
    <row r="64" spans="1:29">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row>
    <row r="65" spans="1:29">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row>
    <row r="66" spans="1:29">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row>
    <row r="67" spans="1:29">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row>
    <row r="68" spans="1:29">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row>
    <row r="69" spans="1:29">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row>
    <row r="70" spans="1:29">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row>
    <row r="71" spans="1:29">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EF38F-BB46-429E-A194-4E0E515BB8EF}">
  <dimension ref="A3:B9"/>
  <sheetViews>
    <sheetView workbookViewId="0">
      <selection activeCell="D4" sqref="D4"/>
    </sheetView>
  </sheetViews>
  <sheetFormatPr defaultRowHeight="15"/>
  <cols>
    <col min="1" max="1" width="12.7109375" bestFit="1" customWidth="1"/>
    <col min="2" max="2" width="24.640625" bestFit="1" customWidth="1"/>
  </cols>
  <sheetData>
    <row r="3" spans="1:2">
      <c r="A3" s="58" t="s">
        <v>47</v>
      </c>
      <c r="B3" t="s">
        <v>129</v>
      </c>
    </row>
    <row r="4" spans="1:2">
      <c r="A4" s="59" t="s">
        <v>41</v>
      </c>
      <c r="B4" s="60">
        <v>81.94</v>
      </c>
    </row>
    <row r="5" spans="1:2">
      <c r="A5" s="59" t="s">
        <v>16</v>
      </c>
      <c r="B5" s="60">
        <v>82.01</v>
      </c>
    </row>
    <row r="6" spans="1:2">
      <c r="A6" s="59" t="s">
        <v>23</v>
      </c>
      <c r="B6" s="60">
        <v>90.86</v>
      </c>
    </row>
    <row r="7" spans="1:2">
      <c r="A7" s="59" t="s">
        <v>44</v>
      </c>
      <c r="B7" s="60">
        <v>86.66</v>
      </c>
    </row>
    <row r="8" spans="1:2">
      <c r="A8" s="59" t="s">
        <v>28</v>
      </c>
      <c r="B8" s="60">
        <v>88.8</v>
      </c>
    </row>
    <row r="9" spans="1:2">
      <c r="A9" s="59" t="s">
        <v>48</v>
      </c>
      <c r="B9" s="60">
        <v>430.27000000000004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O66"/>
  <sheetViews>
    <sheetView topLeftCell="A2" zoomScale="130" zoomScaleNormal="130" workbookViewId="0">
      <selection activeCell="B9" sqref="B9"/>
    </sheetView>
  </sheetViews>
  <sheetFormatPr defaultRowHeight="15"/>
  <cols>
    <col min="1" max="1" width="14.640625" customWidth="1"/>
    <col min="2" max="2" width="15.35546875" customWidth="1"/>
    <col min="3" max="3" width="18.5703125" customWidth="1"/>
    <col min="4" max="4" width="19.0703125" customWidth="1"/>
    <col min="8" max="8" width="19.640625" customWidth="1"/>
  </cols>
  <sheetData>
    <row r="1" spans="1:15">
      <c r="A1" t="s">
        <v>0</v>
      </c>
      <c r="B1" t="s">
        <v>1</v>
      </c>
      <c r="C1" t="s">
        <v>64</v>
      </c>
      <c r="D1" t="s">
        <v>65</v>
      </c>
      <c r="E1" s="2"/>
      <c r="F1" s="2"/>
      <c r="G1" s="2"/>
      <c r="H1" s="2"/>
      <c r="I1" s="2"/>
      <c r="J1" s="2"/>
      <c r="K1" s="2"/>
      <c r="L1" s="2"/>
      <c r="M1" s="2"/>
      <c r="N1" s="2"/>
      <c r="O1" s="2"/>
    </row>
    <row r="2" spans="1:15">
      <c r="A2" t="s">
        <v>8</v>
      </c>
      <c r="B2" t="s">
        <v>9</v>
      </c>
      <c r="C2">
        <v>64.84</v>
      </c>
      <c r="D2">
        <v>74.040000000000006</v>
      </c>
      <c r="E2" s="2"/>
      <c r="F2" s="2"/>
      <c r="G2" s="2"/>
      <c r="H2" s="2"/>
      <c r="I2" s="2"/>
      <c r="J2" s="2"/>
      <c r="K2" s="2"/>
      <c r="L2" s="2"/>
      <c r="M2" s="2"/>
      <c r="N2" s="2"/>
      <c r="O2" s="2"/>
    </row>
    <row r="3" spans="1:15">
      <c r="A3" t="s">
        <v>10</v>
      </c>
      <c r="B3" t="s">
        <v>11</v>
      </c>
      <c r="C3">
        <v>60.47</v>
      </c>
      <c r="D3">
        <v>67.66</v>
      </c>
      <c r="E3" s="2"/>
      <c r="F3" s="2"/>
      <c r="G3" s="2"/>
      <c r="H3" s="2"/>
      <c r="I3" s="2"/>
      <c r="J3" s="2"/>
      <c r="K3" s="2"/>
      <c r="L3" s="2"/>
      <c r="M3" s="2"/>
      <c r="N3" s="2"/>
      <c r="O3" s="2"/>
    </row>
    <row r="4" spans="1:15">
      <c r="A4" t="s">
        <v>10</v>
      </c>
      <c r="B4" t="s">
        <v>12</v>
      </c>
      <c r="C4">
        <v>54.34</v>
      </c>
      <c r="D4">
        <v>66.95</v>
      </c>
      <c r="E4" s="2"/>
      <c r="F4" s="2"/>
      <c r="G4" s="2"/>
      <c r="H4" s="2"/>
      <c r="I4" s="2"/>
      <c r="J4" s="2"/>
      <c r="K4" s="2"/>
      <c r="L4" s="2"/>
      <c r="M4" s="2"/>
      <c r="N4" s="2"/>
      <c r="O4" s="2"/>
    </row>
    <row r="5" spans="1:15">
      <c r="A5" t="s">
        <v>10</v>
      </c>
      <c r="B5" t="s">
        <v>13</v>
      </c>
      <c r="C5">
        <v>63.25</v>
      </c>
      <c r="D5">
        <v>73.180000000000007</v>
      </c>
      <c r="E5" s="2"/>
      <c r="F5" s="2"/>
      <c r="G5" s="2"/>
      <c r="H5" s="2"/>
      <c r="I5" s="2"/>
      <c r="J5" s="2"/>
      <c r="K5" s="2"/>
      <c r="L5" s="2"/>
      <c r="M5" s="2"/>
      <c r="N5" s="2"/>
      <c r="O5" s="2"/>
    </row>
    <row r="6" spans="1:15">
      <c r="A6" t="s">
        <v>10</v>
      </c>
      <c r="B6" t="s">
        <v>14</v>
      </c>
      <c r="C6">
        <v>47</v>
      </c>
      <c r="D6">
        <v>63.82</v>
      </c>
      <c r="E6" s="2"/>
      <c r="F6" s="2"/>
      <c r="G6" s="2"/>
      <c r="H6" s="2"/>
      <c r="I6" s="2"/>
      <c r="J6" s="2"/>
      <c r="K6" s="2"/>
      <c r="L6" s="2"/>
      <c r="M6" s="2"/>
      <c r="N6" s="2"/>
      <c r="O6" s="2"/>
    </row>
    <row r="7" spans="1:15">
      <c r="A7" t="s">
        <v>10</v>
      </c>
      <c r="B7" t="s">
        <v>15</v>
      </c>
      <c r="C7">
        <v>64.66</v>
      </c>
      <c r="D7">
        <v>71.040000000000006</v>
      </c>
      <c r="E7" s="2"/>
      <c r="F7" s="2"/>
      <c r="G7" s="2"/>
      <c r="H7" s="2"/>
      <c r="I7" s="2"/>
      <c r="J7" s="2"/>
      <c r="K7" s="2"/>
      <c r="L7" s="2"/>
      <c r="M7" s="2"/>
      <c r="N7" s="2"/>
      <c r="O7" s="2"/>
    </row>
    <row r="8" spans="1:15">
      <c r="A8" t="s">
        <v>10</v>
      </c>
      <c r="B8" t="s">
        <v>16</v>
      </c>
      <c r="C8">
        <v>82.01</v>
      </c>
      <c r="D8">
        <v>87.4</v>
      </c>
      <c r="E8" s="2"/>
      <c r="F8" s="2"/>
      <c r="G8" s="2"/>
      <c r="H8" s="2"/>
      <c r="I8" s="2"/>
      <c r="J8" s="2"/>
      <c r="K8" s="2"/>
      <c r="L8" s="2"/>
      <c r="M8" s="2"/>
      <c r="N8" s="2"/>
      <c r="O8" s="2"/>
    </row>
    <row r="9" spans="1:15">
      <c r="A9" t="s">
        <v>10</v>
      </c>
      <c r="B9" t="s">
        <v>17</v>
      </c>
      <c r="C9">
        <v>69.14</v>
      </c>
      <c r="D9">
        <v>79.31</v>
      </c>
      <c r="E9" s="2"/>
      <c r="F9" s="2"/>
      <c r="G9" s="2"/>
      <c r="H9" s="2"/>
      <c r="I9" s="2"/>
      <c r="J9" s="2"/>
      <c r="K9" s="2"/>
      <c r="L9" s="2"/>
      <c r="M9" s="2"/>
      <c r="N9" s="2"/>
      <c r="O9" s="2"/>
    </row>
    <row r="10" spans="1:15">
      <c r="A10" t="s">
        <v>10</v>
      </c>
      <c r="B10" t="s">
        <v>18</v>
      </c>
      <c r="C10">
        <v>67.91</v>
      </c>
      <c r="D10">
        <v>76.64</v>
      </c>
      <c r="E10" s="2"/>
      <c r="F10" s="2"/>
      <c r="G10" s="2"/>
      <c r="H10" s="2"/>
      <c r="I10" s="2"/>
      <c r="J10" s="2"/>
      <c r="K10" s="2"/>
      <c r="L10" s="2"/>
      <c r="M10" s="2"/>
      <c r="N10" s="2"/>
      <c r="O10" s="2"/>
    </row>
    <row r="11" spans="1:15">
      <c r="A11" t="s">
        <v>10</v>
      </c>
      <c r="B11" t="s">
        <v>19</v>
      </c>
      <c r="C11">
        <v>76.48</v>
      </c>
      <c r="D11">
        <v>83.78</v>
      </c>
      <c r="E11" s="2"/>
      <c r="F11" s="2"/>
      <c r="G11" s="2"/>
      <c r="H11" s="2"/>
      <c r="I11" s="2"/>
      <c r="J11" s="2"/>
      <c r="K11" s="2"/>
      <c r="L11" s="2"/>
      <c r="M11" s="2"/>
      <c r="N11" s="2"/>
      <c r="O11" s="2"/>
    </row>
    <row r="12" spans="1:15">
      <c r="A12" t="s">
        <v>10</v>
      </c>
      <c r="B12" t="s">
        <v>20</v>
      </c>
      <c r="C12">
        <v>55.52</v>
      </c>
      <c r="D12">
        <v>68.739999999999995</v>
      </c>
      <c r="E12" s="2"/>
      <c r="F12" s="2"/>
      <c r="G12" s="2"/>
      <c r="H12" s="2"/>
      <c r="I12" s="2"/>
      <c r="J12" s="2"/>
      <c r="K12" s="2"/>
      <c r="L12" s="2"/>
      <c r="M12" s="2"/>
      <c r="N12" s="2"/>
      <c r="O12" s="2"/>
    </row>
    <row r="13" spans="1:15">
      <c r="A13" t="s">
        <v>10</v>
      </c>
      <c r="B13" t="s">
        <v>21</v>
      </c>
      <c r="C13">
        <v>53.56</v>
      </c>
      <c r="D13">
        <v>67.63</v>
      </c>
      <c r="E13" s="2"/>
      <c r="F13" s="2"/>
      <c r="G13" s="2"/>
      <c r="H13" s="2"/>
      <c r="I13" s="2"/>
      <c r="J13" s="2"/>
      <c r="K13" s="2"/>
      <c r="L13" s="2"/>
      <c r="M13" s="2"/>
      <c r="N13" s="2"/>
      <c r="O13" s="2"/>
    </row>
    <row r="14" spans="1:15">
      <c r="A14" t="s">
        <v>10</v>
      </c>
      <c r="B14" t="s">
        <v>22</v>
      </c>
      <c r="C14">
        <v>66.64</v>
      </c>
      <c r="D14">
        <v>75.599999999999994</v>
      </c>
      <c r="E14" s="2"/>
      <c r="F14" s="2"/>
      <c r="G14" s="2"/>
      <c r="H14" s="2"/>
      <c r="I14" s="2"/>
      <c r="J14" s="2"/>
      <c r="K14" s="2"/>
      <c r="L14" s="2"/>
      <c r="M14" s="2"/>
      <c r="N14" s="2"/>
      <c r="O14" s="2"/>
    </row>
    <row r="15" spans="1:15">
      <c r="A15" t="s">
        <v>10</v>
      </c>
      <c r="B15" t="s">
        <v>23</v>
      </c>
      <c r="C15">
        <v>90.86</v>
      </c>
      <c r="D15">
        <v>93.91</v>
      </c>
      <c r="E15" s="2"/>
      <c r="F15" s="2"/>
      <c r="G15" s="2"/>
      <c r="H15" s="2"/>
      <c r="I15" s="2"/>
      <c r="J15" s="2"/>
      <c r="K15" s="2"/>
      <c r="L15" s="2"/>
      <c r="M15" s="2"/>
      <c r="N15" s="2"/>
      <c r="O15" s="2"/>
    </row>
    <row r="16" spans="1:15">
      <c r="A16" t="s">
        <v>10</v>
      </c>
      <c r="B16" t="s">
        <v>24</v>
      </c>
      <c r="C16">
        <v>63.74</v>
      </c>
      <c r="D16">
        <v>70.63</v>
      </c>
      <c r="E16" s="2"/>
      <c r="F16" s="2"/>
      <c r="G16" s="2"/>
      <c r="H16" s="2"/>
      <c r="I16" s="2"/>
      <c r="J16" s="2"/>
      <c r="K16" s="2"/>
      <c r="L16" s="2"/>
      <c r="M16" s="2"/>
      <c r="N16" s="2"/>
      <c r="O16" s="2"/>
    </row>
    <row r="17" spans="1:15">
      <c r="A17" t="s">
        <v>10</v>
      </c>
      <c r="B17" t="s">
        <v>25</v>
      </c>
      <c r="C17">
        <v>76.88</v>
      </c>
      <c r="D17">
        <v>82.91</v>
      </c>
      <c r="E17" s="2"/>
      <c r="F17" s="2"/>
      <c r="G17" s="2"/>
      <c r="H17" s="2"/>
      <c r="I17" s="2"/>
      <c r="J17" s="2"/>
      <c r="K17" s="2"/>
      <c r="L17" s="2"/>
      <c r="M17" s="2"/>
      <c r="N17" s="2"/>
      <c r="O17" s="2"/>
    </row>
    <row r="18" spans="1:15">
      <c r="A18" t="s">
        <v>10</v>
      </c>
      <c r="B18" t="s">
        <v>26</v>
      </c>
      <c r="C18">
        <v>70.53</v>
      </c>
      <c r="D18">
        <v>79.849999999999994</v>
      </c>
      <c r="E18" s="2"/>
      <c r="F18" s="2"/>
      <c r="G18" s="2"/>
      <c r="H18" s="2"/>
      <c r="I18" s="2"/>
      <c r="J18" s="2"/>
      <c r="K18" s="2"/>
      <c r="L18" s="2"/>
      <c r="M18" s="2"/>
      <c r="N18" s="2"/>
      <c r="O18" s="2"/>
    </row>
    <row r="19" spans="1:15">
      <c r="A19" t="s">
        <v>10</v>
      </c>
      <c r="B19" t="s">
        <v>27</v>
      </c>
      <c r="C19">
        <v>62.56</v>
      </c>
      <c r="D19">
        <v>75.48</v>
      </c>
      <c r="E19" s="2"/>
      <c r="F19" s="2"/>
      <c r="G19" s="2"/>
      <c r="H19" s="2"/>
      <c r="I19" s="2"/>
      <c r="J19" s="2"/>
      <c r="K19" s="2"/>
      <c r="L19" s="2"/>
      <c r="M19" s="2"/>
      <c r="N19" s="2"/>
      <c r="O19" s="2"/>
    </row>
    <row r="20" spans="1:15">
      <c r="A20" t="s">
        <v>10</v>
      </c>
      <c r="B20" t="s">
        <v>28</v>
      </c>
      <c r="C20">
        <v>88.8</v>
      </c>
      <c r="D20">
        <v>91.58</v>
      </c>
      <c r="E20" s="2"/>
      <c r="F20" s="2"/>
      <c r="G20" s="2"/>
      <c r="H20" s="2"/>
      <c r="I20" s="2"/>
      <c r="J20" s="2"/>
      <c r="K20" s="2"/>
      <c r="L20" s="2"/>
      <c r="M20" s="2"/>
      <c r="N20" s="2"/>
      <c r="O20" s="2"/>
    </row>
    <row r="21" spans="1:15">
      <c r="A21" t="s">
        <v>10</v>
      </c>
      <c r="B21" t="s">
        <v>29</v>
      </c>
      <c r="C21">
        <v>66.59</v>
      </c>
      <c r="D21">
        <v>80.11</v>
      </c>
      <c r="E21" s="2"/>
      <c r="F21" s="2"/>
      <c r="G21" s="2"/>
      <c r="H21" s="2"/>
      <c r="I21" s="2"/>
      <c r="J21" s="2"/>
      <c r="K21" s="2"/>
      <c r="L21" s="2"/>
      <c r="M21" s="2"/>
      <c r="N21" s="2"/>
      <c r="O21" s="2"/>
    </row>
    <row r="22" spans="1:15">
      <c r="A22" t="s">
        <v>10</v>
      </c>
      <c r="B22" t="s">
        <v>30</v>
      </c>
      <c r="C22">
        <v>63.08</v>
      </c>
      <c r="D22">
        <v>73.45</v>
      </c>
      <c r="E22" s="2"/>
      <c r="F22" s="2"/>
      <c r="G22" s="2"/>
      <c r="H22" s="2"/>
      <c r="I22" s="2"/>
      <c r="J22" s="2"/>
      <c r="K22" s="2"/>
      <c r="L22" s="2"/>
      <c r="M22" s="2"/>
      <c r="N22" s="2"/>
      <c r="O22" s="2"/>
    </row>
    <row r="23" spans="1:15">
      <c r="A23" t="s">
        <v>10</v>
      </c>
      <c r="B23" t="s">
        <v>31</v>
      </c>
      <c r="C23">
        <v>69.650000000000006</v>
      </c>
      <c r="D23">
        <v>76.680000000000007</v>
      </c>
      <c r="E23" s="2"/>
      <c r="F23" s="2"/>
      <c r="G23" s="2"/>
      <c r="H23" s="2"/>
      <c r="I23" s="2"/>
      <c r="J23" s="2"/>
      <c r="K23" s="2"/>
      <c r="L23" s="2"/>
      <c r="M23" s="2"/>
      <c r="N23" s="2"/>
      <c r="O23" s="2"/>
    </row>
    <row r="24" spans="1:15">
      <c r="A24" t="s">
        <v>10</v>
      </c>
      <c r="B24" t="s">
        <v>32</v>
      </c>
      <c r="C24">
        <v>60.41</v>
      </c>
      <c r="D24">
        <v>67.06</v>
      </c>
      <c r="E24" s="2"/>
      <c r="F24" s="2"/>
      <c r="G24" s="2"/>
      <c r="H24" s="2"/>
      <c r="I24" s="2"/>
      <c r="J24" s="2"/>
      <c r="K24" s="2"/>
      <c r="L24" s="2"/>
      <c r="M24" s="2"/>
      <c r="N24" s="2"/>
      <c r="O24" s="2"/>
    </row>
    <row r="25" spans="1:15">
      <c r="A25" t="s">
        <v>10</v>
      </c>
      <c r="B25" t="s">
        <v>33</v>
      </c>
      <c r="C25">
        <v>68.81</v>
      </c>
      <c r="D25">
        <v>82.2</v>
      </c>
      <c r="E25" s="2"/>
      <c r="F25" s="2"/>
      <c r="G25" s="2"/>
      <c r="H25" s="2"/>
      <c r="I25" s="2"/>
      <c r="J25" s="2"/>
      <c r="K25" s="2"/>
      <c r="L25" s="2"/>
      <c r="M25" s="2"/>
      <c r="N25" s="2"/>
      <c r="O25" s="2"/>
    </row>
    <row r="26" spans="1:15">
      <c r="A26" t="s">
        <v>10</v>
      </c>
      <c r="B26" t="s">
        <v>34</v>
      </c>
      <c r="C26">
        <v>73.45</v>
      </c>
      <c r="D26">
        <v>80.33</v>
      </c>
      <c r="E26" s="2"/>
      <c r="F26" s="2"/>
      <c r="G26" s="2"/>
      <c r="H26" s="2"/>
      <c r="I26" s="2"/>
      <c r="J26" s="2"/>
      <c r="K26" s="2"/>
      <c r="L26" s="2"/>
      <c r="M26" s="2"/>
      <c r="N26" s="2"/>
      <c r="O26" s="2"/>
    </row>
    <row r="27" spans="1:15">
      <c r="A27" t="s">
        <v>10</v>
      </c>
      <c r="B27" t="s">
        <v>35</v>
      </c>
      <c r="C27">
        <v>73.19</v>
      </c>
      <c r="D27">
        <v>87.75</v>
      </c>
      <c r="E27" s="2"/>
      <c r="F27" s="2"/>
      <c r="G27" s="2"/>
      <c r="H27" s="2"/>
      <c r="I27" s="2"/>
      <c r="J27" s="2"/>
      <c r="K27" s="2"/>
      <c r="L27" s="2"/>
      <c r="M27" s="2"/>
      <c r="N27" s="2"/>
      <c r="O27" s="2"/>
    </row>
    <row r="28" spans="1:15">
      <c r="A28" t="s">
        <v>10</v>
      </c>
      <c r="B28" t="s">
        <v>36</v>
      </c>
      <c r="C28">
        <v>56.27</v>
      </c>
      <c r="D28">
        <v>69.72</v>
      </c>
      <c r="E28" s="2"/>
      <c r="F28" s="2"/>
      <c r="G28" s="2"/>
      <c r="H28" s="2"/>
      <c r="I28" s="2"/>
      <c r="J28" s="2"/>
      <c r="K28" s="2"/>
      <c r="L28" s="2"/>
      <c r="M28" s="2"/>
      <c r="N28" s="2"/>
      <c r="O28" s="2"/>
    </row>
    <row r="29" spans="1:15">
      <c r="A29" t="s">
        <v>10</v>
      </c>
      <c r="B29" t="s">
        <v>37</v>
      </c>
      <c r="C29">
        <v>71.62</v>
      </c>
      <c r="D29">
        <v>79.63</v>
      </c>
      <c r="E29" s="2"/>
      <c r="F29" s="2"/>
      <c r="G29" s="2"/>
      <c r="H29" s="2"/>
      <c r="I29" s="2"/>
      <c r="J29" s="2"/>
      <c r="K29" s="2"/>
      <c r="L29" s="2"/>
      <c r="M29" s="2"/>
      <c r="N29" s="2"/>
      <c r="O29" s="2"/>
    </row>
    <row r="30" spans="1:15">
      <c r="A30" t="s">
        <v>10</v>
      </c>
      <c r="B30" t="s">
        <v>38</v>
      </c>
      <c r="C30">
        <v>68.64</v>
      </c>
      <c r="D30">
        <v>77.08</v>
      </c>
      <c r="E30" s="2"/>
      <c r="F30" s="2"/>
      <c r="G30" s="2"/>
      <c r="H30" s="2"/>
      <c r="I30" s="2"/>
      <c r="J30" s="2"/>
      <c r="K30" s="2"/>
      <c r="L30" s="2"/>
      <c r="M30" s="2"/>
      <c r="N30" s="2"/>
      <c r="O30" s="2"/>
    </row>
    <row r="31" spans="1:15">
      <c r="A31" t="s">
        <v>39</v>
      </c>
      <c r="B31" t="s">
        <v>40</v>
      </c>
      <c r="C31">
        <v>81.3</v>
      </c>
      <c r="D31">
        <v>86.27</v>
      </c>
      <c r="E31" s="2"/>
      <c r="F31" s="2"/>
      <c r="G31" s="2"/>
      <c r="H31" s="2"/>
      <c r="I31" s="2"/>
      <c r="J31" s="2"/>
      <c r="K31" s="2"/>
      <c r="L31" s="2"/>
      <c r="M31" s="2"/>
      <c r="N31" s="2"/>
      <c r="O31" s="2"/>
    </row>
    <row r="32" spans="1:15">
      <c r="A32" t="s">
        <v>39</v>
      </c>
      <c r="B32" t="s">
        <v>41</v>
      </c>
      <c r="C32">
        <v>81.94</v>
      </c>
      <c r="D32">
        <v>86.43</v>
      </c>
      <c r="E32" s="2"/>
      <c r="F32" s="2"/>
      <c r="G32" s="2"/>
      <c r="H32" s="2"/>
      <c r="I32" s="2"/>
      <c r="J32" s="2"/>
      <c r="K32" s="2"/>
      <c r="L32" s="2"/>
      <c r="M32" s="2"/>
      <c r="N32" s="2"/>
      <c r="O32" s="2"/>
    </row>
    <row r="33" spans="1:15">
      <c r="A33" t="s">
        <v>39</v>
      </c>
      <c r="B33" t="s">
        <v>42</v>
      </c>
      <c r="C33">
        <v>57.63</v>
      </c>
      <c r="D33">
        <v>77.650000000000006</v>
      </c>
      <c r="E33" s="2"/>
      <c r="F33" s="2"/>
      <c r="G33" s="2"/>
      <c r="H33" s="2"/>
      <c r="I33" s="2"/>
      <c r="J33" s="2"/>
      <c r="K33" s="2"/>
      <c r="L33" s="2"/>
      <c r="M33" s="2"/>
      <c r="N33" s="2"/>
      <c r="O33" s="2"/>
    </row>
    <row r="34" spans="1:15">
      <c r="A34" t="s">
        <v>39</v>
      </c>
      <c r="B34" t="s">
        <v>43</v>
      </c>
      <c r="C34">
        <v>78.180000000000007</v>
      </c>
      <c r="D34">
        <v>87.07</v>
      </c>
      <c r="E34" s="2"/>
      <c r="F34" s="2"/>
      <c r="G34" s="2"/>
      <c r="H34" s="2"/>
      <c r="I34" s="2"/>
      <c r="J34" s="2"/>
      <c r="K34" s="2"/>
      <c r="L34" s="2"/>
      <c r="M34" s="2"/>
      <c r="N34" s="2"/>
      <c r="O34" s="2"/>
    </row>
    <row r="35" spans="1:15">
      <c r="A35" t="s">
        <v>39</v>
      </c>
      <c r="B35" t="s">
        <v>44</v>
      </c>
      <c r="C35">
        <v>86.66</v>
      </c>
      <c r="D35">
        <v>92.28</v>
      </c>
      <c r="E35" s="2"/>
      <c r="F35" s="2"/>
      <c r="G35" s="2"/>
      <c r="H35" s="2"/>
      <c r="I35" s="2"/>
      <c r="J35" s="2"/>
      <c r="K35" s="2"/>
      <c r="L35" s="2"/>
      <c r="M35" s="2"/>
      <c r="N35" s="2"/>
      <c r="O35" s="2"/>
    </row>
    <row r="36" spans="1:15">
      <c r="A36" t="s">
        <v>39</v>
      </c>
      <c r="B36" t="s">
        <v>45</v>
      </c>
      <c r="C36">
        <v>81.67</v>
      </c>
      <c r="D36">
        <v>86.34</v>
      </c>
      <c r="E36" s="2"/>
      <c r="F36" s="2"/>
      <c r="G36" s="2"/>
      <c r="H36" s="2"/>
      <c r="I36" s="2"/>
      <c r="J36" s="2"/>
      <c r="K36" s="2"/>
      <c r="L36" s="2"/>
      <c r="M36" s="2"/>
      <c r="N36" s="2"/>
      <c r="O36" s="2"/>
    </row>
    <row r="37" spans="1:15">
      <c r="A37" t="s">
        <v>39</v>
      </c>
      <c r="B37" t="s">
        <v>46</v>
      </c>
      <c r="C37">
        <v>81.239999999999995</v>
      </c>
      <c r="D37">
        <v>86.55</v>
      </c>
      <c r="E37" s="2"/>
      <c r="F37" s="2"/>
      <c r="G37" s="2"/>
      <c r="H37" s="2"/>
      <c r="I37" s="2"/>
      <c r="J37" s="2"/>
      <c r="K37" s="2"/>
      <c r="L37" s="2"/>
      <c r="M37" s="2"/>
      <c r="N37" s="2"/>
      <c r="O37" s="2"/>
    </row>
    <row r="38" spans="1:15">
      <c r="A38" s="2"/>
      <c r="B38" s="2"/>
      <c r="C38" s="2"/>
      <c r="D38" s="2"/>
      <c r="E38" s="2"/>
      <c r="F38" s="2"/>
      <c r="G38" s="2"/>
      <c r="H38" s="2"/>
      <c r="I38" s="2"/>
      <c r="J38" s="2"/>
      <c r="K38" s="2"/>
      <c r="L38" s="2"/>
      <c r="M38" s="2"/>
      <c r="N38" s="2"/>
      <c r="O38" s="2"/>
    </row>
    <row r="39" spans="1:15">
      <c r="A39" s="2"/>
      <c r="B39" s="2"/>
      <c r="C39" s="2"/>
      <c r="D39" s="2"/>
      <c r="E39" s="2"/>
      <c r="F39" s="2"/>
      <c r="G39" s="2"/>
      <c r="H39" s="2"/>
      <c r="I39" s="2"/>
      <c r="J39" s="2"/>
      <c r="K39" s="2"/>
      <c r="L39" s="2"/>
      <c r="M39" s="2"/>
      <c r="N39" s="2"/>
      <c r="O39" s="2"/>
    </row>
    <row r="40" spans="1:15">
      <c r="A40" s="2"/>
      <c r="B40" s="2"/>
      <c r="C40" s="2"/>
      <c r="D40" s="2"/>
      <c r="E40" s="2"/>
      <c r="F40" s="2"/>
      <c r="G40" s="2"/>
      <c r="H40" s="2"/>
      <c r="I40" s="2"/>
      <c r="J40" s="2"/>
      <c r="K40" s="2"/>
      <c r="L40" s="2"/>
      <c r="M40" s="2"/>
      <c r="N40" s="2"/>
      <c r="O40" s="2"/>
    </row>
    <row r="41" spans="1:15">
      <c r="A41" s="2"/>
      <c r="B41" s="2"/>
      <c r="C41" s="2"/>
      <c r="D41" s="2"/>
      <c r="E41" s="2"/>
      <c r="F41" s="2"/>
      <c r="G41" s="2"/>
      <c r="H41" s="2"/>
      <c r="I41" s="2"/>
      <c r="J41" s="2"/>
      <c r="K41" s="2"/>
      <c r="L41" s="2"/>
      <c r="M41" s="2"/>
      <c r="N41" s="2"/>
      <c r="O41" s="2"/>
    </row>
    <row r="42" spans="1:15">
      <c r="A42" s="2"/>
      <c r="B42" s="2"/>
      <c r="C42" s="2"/>
      <c r="D42" s="2"/>
      <c r="E42" s="2"/>
      <c r="F42" s="2"/>
      <c r="G42" s="2"/>
      <c r="H42" s="2"/>
      <c r="I42" s="2"/>
      <c r="J42" s="2"/>
      <c r="K42" s="2"/>
      <c r="L42" s="2"/>
      <c r="M42" s="2"/>
      <c r="N42" s="2"/>
      <c r="O42" s="2"/>
    </row>
    <row r="43" spans="1:15">
      <c r="A43" s="2"/>
      <c r="B43" s="2"/>
      <c r="C43" s="2"/>
      <c r="D43" s="2"/>
      <c r="E43" s="2"/>
      <c r="F43" s="2"/>
      <c r="G43" s="2"/>
      <c r="H43" s="2"/>
      <c r="I43" s="2"/>
      <c r="J43" s="2"/>
      <c r="K43" s="2"/>
      <c r="L43" s="2"/>
      <c r="M43" s="2"/>
      <c r="N43" s="2"/>
      <c r="O43" s="2"/>
    </row>
    <row r="44" spans="1:15">
      <c r="A44" s="2"/>
      <c r="B44" s="2"/>
      <c r="C44" s="2"/>
      <c r="D44" s="2"/>
      <c r="E44" s="2"/>
      <c r="F44" s="2"/>
      <c r="G44" s="2"/>
      <c r="H44" s="2"/>
      <c r="I44" s="2"/>
      <c r="J44" s="2"/>
      <c r="K44" s="2"/>
      <c r="L44" s="2"/>
      <c r="M44" s="2"/>
      <c r="N44" s="2"/>
      <c r="O44" s="2"/>
    </row>
    <row r="45" spans="1:15">
      <c r="A45" s="2"/>
      <c r="B45" s="2"/>
      <c r="C45" s="2"/>
      <c r="D45" s="2"/>
      <c r="E45" s="2"/>
      <c r="F45" s="2"/>
      <c r="G45" s="2"/>
      <c r="H45" s="2"/>
      <c r="I45" s="2"/>
      <c r="J45" s="2"/>
      <c r="K45" s="2"/>
      <c r="L45" s="2"/>
      <c r="M45" s="2"/>
      <c r="N45" s="2"/>
      <c r="O45" s="2"/>
    </row>
    <row r="46" spans="1:15">
      <c r="A46" s="2"/>
      <c r="B46" s="2"/>
      <c r="C46" s="2"/>
      <c r="D46" s="2"/>
      <c r="E46" s="2"/>
      <c r="F46" s="2"/>
      <c r="G46" s="2"/>
      <c r="H46" s="2"/>
      <c r="I46" s="2"/>
      <c r="J46" s="2"/>
      <c r="K46" s="2"/>
      <c r="L46" s="2"/>
      <c r="M46" s="2"/>
      <c r="N46" s="2"/>
      <c r="O46" s="2"/>
    </row>
    <row r="47" spans="1:15">
      <c r="A47" s="2"/>
      <c r="B47" s="2"/>
      <c r="C47" s="2"/>
      <c r="D47" s="2"/>
      <c r="E47" s="2"/>
      <c r="F47" s="2"/>
      <c r="G47" s="2"/>
      <c r="H47" s="2"/>
      <c r="I47" s="2"/>
      <c r="J47" s="2"/>
      <c r="K47" s="2"/>
      <c r="L47" s="2"/>
      <c r="M47" s="2"/>
      <c r="N47" s="2"/>
      <c r="O47" s="2"/>
    </row>
    <row r="48" spans="1:15">
      <c r="A48" s="2"/>
      <c r="B48" s="2"/>
      <c r="C48" s="2"/>
      <c r="D48" s="2"/>
      <c r="E48" s="2"/>
      <c r="F48" s="2"/>
      <c r="G48" s="2"/>
      <c r="H48" s="2"/>
      <c r="I48" s="2"/>
      <c r="J48" s="2"/>
      <c r="K48" s="2"/>
      <c r="L48" s="2"/>
      <c r="M48" s="2"/>
      <c r="N48" s="2"/>
      <c r="O48" s="2"/>
    </row>
    <row r="49" spans="1:15">
      <c r="A49" s="2"/>
      <c r="B49" s="2"/>
      <c r="C49" s="2"/>
      <c r="D49" s="2"/>
      <c r="E49" s="2"/>
      <c r="F49" s="2"/>
      <c r="G49" s="2"/>
      <c r="H49" s="2"/>
      <c r="I49" s="2"/>
      <c r="J49" s="2"/>
      <c r="K49" s="2"/>
      <c r="L49" s="2"/>
      <c r="M49" s="2"/>
      <c r="N49" s="2"/>
      <c r="O49" s="2"/>
    </row>
    <row r="50" spans="1:15">
      <c r="A50" s="2"/>
      <c r="B50" s="2"/>
      <c r="C50" s="2"/>
      <c r="D50" s="2"/>
      <c r="E50" s="2"/>
      <c r="F50" s="2"/>
      <c r="G50" s="2"/>
      <c r="H50" s="2"/>
      <c r="I50" s="2"/>
      <c r="J50" s="2"/>
      <c r="K50" s="2"/>
      <c r="L50" s="2"/>
      <c r="M50" s="2"/>
      <c r="N50" s="2"/>
      <c r="O50" s="2"/>
    </row>
    <row r="51" spans="1:15">
      <c r="A51" s="2"/>
      <c r="B51" s="2"/>
      <c r="C51" s="2"/>
      <c r="D51" s="2"/>
      <c r="E51" s="2"/>
      <c r="F51" s="2"/>
      <c r="G51" s="2"/>
      <c r="H51" s="2"/>
      <c r="I51" s="2"/>
      <c r="J51" s="2"/>
      <c r="K51" s="2"/>
      <c r="L51" s="2"/>
      <c r="M51" s="2"/>
      <c r="N51" s="2"/>
      <c r="O51" s="2"/>
    </row>
    <row r="52" spans="1:15">
      <c r="A52" s="2"/>
      <c r="B52" s="2"/>
      <c r="C52" s="2"/>
      <c r="D52" s="2"/>
      <c r="E52" s="2"/>
      <c r="F52" s="2"/>
      <c r="G52" s="2"/>
      <c r="H52" s="2"/>
      <c r="I52" s="2"/>
      <c r="J52" s="2"/>
      <c r="K52" s="2"/>
      <c r="L52" s="2"/>
      <c r="M52" s="2"/>
      <c r="N52" s="2"/>
      <c r="O52" s="2"/>
    </row>
    <row r="53" spans="1:15">
      <c r="A53" s="2"/>
      <c r="B53" s="2"/>
      <c r="C53" s="2"/>
      <c r="D53" s="2"/>
      <c r="E53" s="2"/>
      <c r="F53" s="2"/>
      <c r="G53" s="2"/>
      <c r="H53" s="2"/>
      <c r="I53" s="2"/>
      <c r="J53" s="2"/>
      <c r="K53" s="2"/>
      <c r="L53" s="2"/>
      <c r="M53" s="2"/>
      <c r="N53" s="2"/>
      <c r="O53" s="2"/>
    </row>
    <row r="54" spans="1:15">
      <c r="A54" s="2"/>
      <c r="B54" s="2"/>
      <c r="C54" s="2"/>
      <c r="D54" s="2"/>
      <c r="E54" s="2"/>
      <c r="F54" s="2"/>
      <c r="G54" s="2"/>
      <c r="H54" s="2"/>
      <c r="I54" s="2"/>
      <c r="J54" s="2"/>
      <c r="K54" s="2"/>
      <c r="L54" s="2"/>
      <c r="M54" s="2"/>
      <c r="N54" s="2"/>
      <c r="O54" s="2"/>
    </row>
    <row r="55" spans="1:15">
      <c r="A55" s="2"/>
      <c r="B55" s="2"/>
      <c r="C55" s="2"/>
      <c r="D55" s="2"/>
      <c r="E55" s="2"/>
      <c r="F55" s="2"/>
      <c r="G55" s="2"/>
      <c r="H55" s="2"/>
      <c r="I55" s="2"/>
      <c r="J55" s="2"/>
      <c r="K55" s="2"/>
      <c r="L55" s="2"/>
      <c r="M55" s="2"/>
      <c r="N55" s="2"/>
      <c r="O55" s="2"/>
    </row>
    <row r="56" spans="1:15">
      <c r="A56" s="2"/>
      <c r="B56" s="2"/>
      <c r="C56" s="2"/>
      <c r="D56" s="2"/>
      <c r="E56" s="2"/>
      <c r="F56" s="2"/>
      <c r="G56" s="2"/>
      <c r="H56" s="2"/>
      <c r="I56" s="2"/>
      <c r="J56" s="2"/>
      <c r="K56" s="2"/>
      <c r="L56" s="2"/>
      <c r="M56" s="2"/>
      <c r="N56" s="2"/>
      <c r="O56" s="2"/>
    </row>
    <row r="57" spans="1:15">
      <c r="A57" s="2"/>
      <c r="B57" s="2"/>
      <c r="C57" s="2"/>
      <c r="D57" s="2"/>
      <c r="E57" s="2"/>
      <c r="F57" s="2"/>
      <c r="G57" s="2"/>
      <c r="H57" s="2"/>
      <c r="I57" s="2"/>
      <c r="J57" s="2"/>
      <c r="K57" s="2"/>
      <c r="L57" s="2"/>
      <c r="M57" s="2"/>
      <c r="N57" s="2"/>
      <c r="O57" s="2"/>
    </row>
    <row r="58" spans="1:15">
      <c r="A58" s="2"/>
      <c r="B58" s="2"/>
      <c r="C58" s="2"/>
      <c r="D58" s="2"/>
      <c r="E58" s="2"/>
      <c r="F58" s="2"/>
      <c r="G58" s="2"/>
      <c r="H58" s="2"/>
      <c r="I58" s="2"/>
      <c r="J58" s="2"/>
      <c r="K58" s="2"/>
      <c r="L58" s="2"/>
      <c r="M58" s="2"/>
      <c r="N58" s="2"/>
      <c r="O58" s="2"/>
    </row>
    <row r="59" spans="1:15">
      <c r="A59" s="2"/>
      <c r="B59" s="2"/>
      <c r="C59" s="2"/>
      <c r="D59" s="2"/>
      <c r="E59" s="2"/>
      <c r="F59" s="2"/>
      <c r="G59" s="2"/>
      <c r="H59" s="2"/>
      <c r="I59" s="2"/>
      <c r="J59" s="2"/>
      <c r="K59" s="2"/>
      <c r="L59" s="2"/>
      <c r="M59" s="2"/>
      <c r="N59" s="2"/>
      <c r="O59" s="2"/>
    </row>
    <row r="60" spans="1:15">
      <c r="A60" s="2"/>
      <c r="B60" s="2"/>
      <c r="C60" s="2"/>
      <c r="D60" s="2"/>
      <c r="E60" s="2"/>
      <c r="F60" s="2"/>
      <c r="G60" s="2"/>
      <c r="H60" s="2"/>
      <c r="I60" s="2"/>
      <c r="J60" s="2"/>
      <c r="K60" s="2"/>
      <c r="L60" s="2"/>
      <c r="M60" s="2"/>
      <c r="N60" s="2"/>
      <c r="O60" s="2"/>
    </row>
    <row r="61" spans="1:15">
      <c r="A61" s="2"/>
      <c r="B61" s="2"/>
      <c r="C61" s="2"/>
      <c r="D61" s="2"/>
      <c r="E61" s="2"/>
      <c r="F61" s="2"/>
      <c r="G61" s="2"/>
      <c r="H61" s="2"/>
      <c r="I61" s="2"/>
      <c r="J61" s="2"/>
      <c r="K61" s="2"/>
      <c r="L61" s="2"/>
      <c r="M61" s="2"/>
      <c r="N61" s="2"/>
      <c r="O61" s="2"/>
    </row>
    <row r="62" spans="1:15">
      <c r="A62" s="2"/>
      <c r="B62" s="2"/>
      <c r="C62" s="2"/>
      <c r="D62" s="2"/>
      <c r="E62" s="2"/>
      <c r="F62" s="2"/>
      <c r="G62" s="2"/>
      <c r="H62" s="2"/>
      <c r="I62" s="2"/>
      <c r="J62" s="2"/>
      <c r="K62" s="2"/>
      <c r="L62" s="2"/>
      <c r="M62" s="2"/>
      <c r="N62" s="2"/>
      <c r="O62" s="2"/>
    </row>
    <row r="63" spans="1:15">
      <c r="A63" s="2"/>
      <c r="B63" s="2"/>
      <c r="C63" s="2"/>
      <c r="D63" s="2"/>
      <c r="E63" s="2"/>
      <c r="F63" s="2"/>
      <c r="G63" s="2"/>
      <c r="H63" s="2"/>
      <c r="I63" s="2"/>
      <c r="J63" s="2"/>
      <c r="K63" s="2"/>
      <c r="L63" s="2"/>
      <c r="M63" s="2"/>
      <c r="N63" s="2"/>
      <c r="O63" s="2"/>
    </row>
    <row r="64" spans="1:15">
      <c r="A64" s="2"/>
      <c r="B64" s="2"/>
      <c r="C64" s="2"/>
      <c r="D64" s="2"/>
      <c r="E64" s="2"/>
      <c r="F64" s="2"/>
      <c r="G64" s="2"/>
      <c r="H64" s="2"/>
      <c r="I64" s="2"/>
      <c r="J64" s="2"/>
      <c r="K64" s="2"/>
      <c r="L64" s="2"/>
      <c r="M64" s="2"/>
      <c r="N64" s="2"/>
      <c r="O64" s="2"/>
    </row>
    <row r="65" spans="1:15">
      <c r="A65" s="2"/>
      <c r="B65" s="2"/>
      <c r="C65" s="2"/>
      <c r="D65" s="2"/>
      <c r="E65" s="2"/>
      <c r="F65" s="2"/>
      <c r="G65" s="2"/>
      <c r="H65" s="2"/>
      <c r="I65" s="2"/>
      <c r="J65" s="2"/>
      <c r="K65" s="2"/>
      <c r="L65" s="2"/>
      <c r="M65" s="2"/>
      <c r="N65" s="2"/>
      <c r="O65" s="2"/>
    </row>
    <row r="66" spans="1:15">
      <c r="A66" s="2"/>
      <c r="B66" s="2"/>
      <c r="C66" s="2"/>
      <c r="D66" s="2"/>
      <c r="E66" s="2"/>
      <c r="F66" s="2"/>
      <c r="G66" s="2"/>
      <c r="H66" s="2"/>
      <c r="I66" s="2"/>
      <c r="J66" s="2"/>
      <c r="K66" s="2"/>
      <c r="L66" s="2"/>
      <c r="M66" s="2"/>
      <c r="N66" s="2"/>
      <c r="O66" s="2"/>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U87"/>
  <sheetViews>
    <sheetView zoomScale="95" zoomScaleNormal="95" workbookViewId="0">
      <selection activeCell="I25" sqref="I25"/>
    </sheetView>
  </sheetViews>
  <sheetFormatPr defaultRowHeight="15"/>
  <cols>
    <col min="1" max="1" width="17.0703125" customWidth="1"/>
    <col min="2" max="2" width="19.35546875" customWidth="1"/>
    <col min="3" max="3" width="15" customWidth="1"/>
    <col min="4" max="4" width="12.42578125" customWidth="1"/>
    <col min="5" max="5" width="12.5" customWidth="1"/>
    <col min="6" max="6" width="12.640625" customWidth="1"/>
  </cols>
  <sheetData>
    <row r="1" spans="1:21">
      <c r="A1" t="s">
        <v>1</v>
      </c>
      <c r="B1" t="s">
        <v>65</v>
      </c>
      <c r="C1" t="s">
        <v>3</v>
      </c>
      <c r="D1" t="s">
        <v>66</v>
      </c>
      <c r="E1" t="s">
        <v>67</v>
      </c>
      <c r="F1" t="s">
        <v>68</v>
      </c>
      <c r="G1" s="2"/>
      <c r="H1" s="2"/>
      <c r="I1" s="2"/>
      <c r="J1" s="2"/>
      <c r="K1" s="2"/>
      <c r="L1" s="2"/>
      <c r="M1" s="2"/>
      <c r="N1" s="2"/>
      <c r="O1" s="2"/>
      <c r="P1" s="2"/>
      <c r="Q1" s="2"/>
      <c r="R1" s="2"/>
      <c r="S1" s="2"/>
      <c r="T1" s="2"/>
      <c r="U1" s="2"/>
    </row>
    <row r="2" spans="1:21">
      <c r="A2" t="s">
        <v>19</v>
      </c>
      <c r="B2">
        <v>75.599999999999994</v>
      </c>
      <c r="C2">
        <v>973</v>
      </c>
      <c r="D2">
        <v>11</v>
      </c>
      <c r="E2">
        <v>11</v>
      </c>
      <c r="F2">
        <f>(Table5[[#This Row],[RANK(L.R.)]]-Table5[[#This Row],[RANK(S.R.)]])^2</f>
        <v>0</v>
      </c>
      <c r="G2" s="2"/>
      <c r="H2" s="2"/>
      <c r="I2" s="2"/>
      <c r="J2" s="2"/>
      <c r="K2" s="2"/>
      <c r="L2" s="2"/>
      <c r="M2" s="2"/>
      <c r="N2" s="2"/>
      <c r="O2" s="2"/>
      <c r="P2" s="2"/>
      <c r="Q2" s="2"/>
      <c r="R2" s="2"/>
      <c r="S2" s="2"/>
      <c r="T2" s="2"/>
      <c r="U2" s="2"/>
    </row>
    <row r="3" spans="1:21">
      <c r="A3" t="s">
        <v>23</v>
      </c>
      <c r="B3">
        <v>75.48</v>
      </c>
      <c r="C3">
        <v>989</v>
      </c>
      <c r="D3">
        <v>1</v>
      </c>
      <c r="E3">
        <v>1</v>
      </c>
      <c r="F3">
        <f>(Table5[[#This Row],[RANK(L.R.)]]-Table5[[#This Row],[RANK(S.R.)]])^2</f>
        <v>0</v>
      </c>
      <c r="G3" s="2"/>
      <c r="H3" s="2"/>
      <c r="I3" s="2"/>
      <c r="J3" s="2"/>
      <c r="K3" s="2"/>
      <c r="L3" s="2"/>
      <c r="M3" s="2"/>
      <c r="N3" s="2"/>
      <c r="O3" s="2"/>
      <c r="P3" s="2"/>
      <c r="Q3" s="2"/>
      <c r="R3" s="2"/>
      <c r="S3" s="2"/>
      <c r="T3" s="2"/>
      <c r="U3" s="2"/>
    </row>
    <row r="4" spans="1:21">
      <c r="A4" t="s">
        <v>20</v>
      </c>
      <c r="B4">
        <v>70.63</v>
      </c>
      <c r="C4">
        <v>931</v>
      </c>
      <c r="D4">
        <v>31</v>
      </c>
      <c r="E4">
        <v>28</v>
      </c>
      <c r="F4">
        <f>(Table5[[#This Row],[RANK(L.R.)]]-Table5[[#This Row],[RANK(S.R.)]])^2</f>
        <v>9</v>
      </c>
      <c r="G4" s="2"/>
      <c r="H4" s="2"/>
      <c r="I4" s="2"/>
      <c r="J4" s="2"/>
      <c r="K4" s="2"/>
      <c r="L4" s="2"/>
      <c r="M4" s="2"/>
      <c r="N4" s="2"/>
      <c r="O4" s="2"/>
      <c r="P4" s="2"/>
      <c r="Q4" s="2"/>
      <c r="R4" s="2"/>
      <c r="S4" s="2"/>
      <c r="T4" s="2"/>
      <c r="U4" s="2"/>
    </row>
    <row r="5" spans="1:21">
      <c r="A5" t="s">
        <v>16</v>
      </c>
      <c r="B5">
        <v>83.78</v>
      </c>
      <c r="C5">
        <v>972</v>
      </c>
      <c r="D5">
        <v>5</v>
      </c>
      <c r="E5">
        <v>10</v>
      </c>
      <c r="F5">
        <f>(Table5[[#This Row],[RANK(L.R.)]]-Table5[[#This Row],[RANK(S.R.)]])^2</f>
        <v>25</v>
      </c>
      <c r="G5" s="2"/>
      <c r="H5" s="2"/>
      <c r="I5" s="2"/>
      <c r="J5" s="2"/>
      <c r="K5" s="2"/>
      <c r="L5" s="2"/>
      <c r="M5" s="2"/>
      <c r="N5" s="2"/>
      <c r="O5" s="2"/>
      <c r="P5" s="2"/>
      <c r="Q5" s="2"/>
      <c r="R5" s="2"/>
      <c r="S5" s="2"/>
      <c r="T5" s="2"/>
      <c r="U5" s="2"/>
    </row>
    <row r="6" spans="1:21">
      <c r="A6" t="s">
        <v>17</v>
      </c>
      <c r="B6">
        <v>68.739999999999995</v>
      </c>
      <c r="C6">
        <v>889</v>
      </c>
      <c r="D6">
        <v>18</v>
      </c>
      <c r="E6">
        <v>23</v>
      </c>
      <c r="F6">
        <f>(Table5[[#This Row],[RANK(L.R.)]]-Table5[[#This Row],[RANK(S.R.)]])^2</f>
        <v>25</v>
      </c>
      <c r="G6" s="2"/>
      <c r="H6" s="2"/>
      <c r="I6" s="2"/>
      <c r="J6" s="2"/>
      <c r="K6" s="2"/>
      <c r="L6" s="2"/>
      <c r="M6" s="2"/>
      <c r="N6" s="2"/>
      <c r="O6" s="2"/>
      <c r="P6" s="2"/>
      <c r="Q6" s="2"/>
      <c r="R6" s="2"/>
      <c r="S6" s="2"/>
      <c r="T6" s="2"/>
      <c r="U6" s="2"/>
    </row>
    <row r="7" spans="1:21">
      <c r="A7" t="s">
        <v>29</v>
      </c>
      <c r="B7">
        <v>80.33</v>
      </c>
      <c r="C7">
        <v>996</v>
      </c>
      <c r="D7">
        <v>15</v>
      </c>
      <c r="E7">
        <v>20</v>
      </c>
      <c r="F7">
        <f>(Table5[[#This Row],[RANK(L.R.)]]-Table5[[#This Row],[RANK(S.R.)]])^2</f>
        <v>25</v>
      </c>
      <c r="G7" s="2"/>
      <c r="H7" s="2"/>
      <c r="I7" s="2"/>
      <c r="J7" s="2"/>
      <c r="K7" s="2"/>
      <c r="L7" s="2"/>
      <c r="M7" s="2"/>
      <c r="N7" s="2"/>
      <c r="O7" s="2"/>
      <c r="P7" s="2"/>
      <c r="Q7" s="2"/>
      <c r="R7" s="2"/>
      <c r="S7" s="2"/>
      <c r="T7" s="2"/>
      <c r="U7" s="2"/>
    </row>
    <row r="8" spans="1:21">
      <c r="A8" t="s">
        <v>46</v>
      </c>
      <c r="B8">
        <v>79.63</v>
      </c>
      <c r="C8">
        <v>963</v>
      </c>
      <c r="D8">
        <v>7</v>
      </c>
      <c r="E8">
        <v>2</v>
      </c>
      <c r="F8">
        <f>(Table5[[#This Row],[RANK(L.R.)]]-Table5[[#This Row],[RANK(S.R.)]])^2</f>
        <v>25</v>
      </c>
      <c r="G8" s="2"/>
      <c r="H8" s="2"/>
      <c r="I8" s="2"/>
      <c r="J8" s="2"/>
      <c r="K8" s="2"/>
      <c r="L8" s="2"/>
      <c r="M8" s="2"/>
      <c r="N8" s="2"/>
      <c r="O8" s="2"/>
      <c r="P8" s="2"/>
      <c r="Q8" s="2"/>
      <c r="R8" s="2"/>
      <c r="S8" s="2"/>
      <c r="T8" s="2"/>
      <c r="U8" s="2"/>
    </row>
    <row r="9" spans="1:21">
      <c r="A9" t="s">
        <v>31</v>
      </c>
      <c r="B9">
        <v>77.08</v>
      </c>
      <c r="C9">
        <v>950</v>
      </c>
      <c r="D9">
        <v>21</v>
      </c>
      <c r="E9">
        <v>26</v>
      </c>
      <c r="F9">
        <f>(Table5[[#This Row],[RANK(L.R.)]]-Table5[[#This Row],[RANK(S.R.)]])^2</f>
        <v>25</v>
      </c>
      <c r="G9" s="2"/>
      <c r="H9" s="2"/>
      <c r="I9" s="2"/>
      <c r="J9" s="2"/>
      <c r="K9" s="2"/>
      <c r="L9" s="2"/>
      <c r="M9" s="2"/>
      <c r="N9" s="2"/>
      <c r="O9" s="2"/>
      <c r="P9" s="2"/>
      <c r="Q9" s="2"/>
      <c r="R9" s="2"/>
      <c r="S9" s="2"/>
      <c r="T9" s="2"/>
      <c r="U9" s="2"/>
    </row>
    <row r="10" spans="1:21">
      <c r="A10" t="s">
        <v>36</v>
      </c>
      <c r="B10">
        <v>92.28</v>
      </c>
      <c r="C10">
        <v>946</v>
      </c>
      <c r="D10">
        <v>30</v>
      </c>
      <c r="E10">
        <v>25</v>
      </c>
      <c r="F10">
        <f>(Table5[[#This Row],[RANK(L.R.)]]-Table5[[#This Row],[RANK(S.R.)]])^2</f>
        <v>25</v>
      </c>
      <c r="G10" s="2"/>
      <c r="H10" s="2"/>
      <c r="I10" s="2"/>
      <c r="J10" s="2"/>
      <c r="K10" s="2"/>
      <c r="L10" s="2"/>
      <c r="M10" s="2"/>
      <c r="N10" s="2"/>
      <c r="O10" s="2"/>
      <c r="P10" s="2"/>
      <c r="Q10" s="2"/>
      <c r="R10" s="2"/>
      <c r="S10" s="2"/>
      <c r="T10" s="2"/>
      <c r="U10" s="2"/>
    </row>
    <row r="11" spans="1:21">
      <c r="A11" t="s">
        <v>37</v>
      </c>
      <c r="B11">
        <v>86.34</v>
      </c>
      <c r="C11">
        <v>868</v>
      </c>
      <c r="D11">
        <v>17</v>
      </c>
      <c r="E11">
        <v>12</v>
      </c>
      <c r="F11">
        <f>(Table5[[#This Row],[RANK(L.R.)]]-Table5[[#This Row],[RANK(S.R.)]])^2</f>
        <v>25</v>
      </c>
      <c r="G11" s="2"/>
      <c r="H11" s="2"/>
      <c r="I11" s="2"/>
      <c r="J11" s="2"/>
      <c r="K11" s="2"/>
      <c r="L11" s="2"/>
      <c r="M11" s="2"/>
      <c r="N11" s="2"/>
      <c r="O11" s="2"/>
      <c r="P11" s="2"/>
      <c r="Q11" s="2"/>
      <c r="R11" s="2"/>
      <c r="S11" s="2"/>
      <c r="T11" s="2"/>
      <c r="U11" s="2"/>
    </row>
    <row r="12" spans="1:21">
      <c r="A12" t="s">
        <v>38</v>
      </c>
      <c r="B12">
        <v>86.55</v>
      </c>
      <c r="C12">
        <v>1037</v>
      </c>
      <c r="D12">
        <v>20</v>
      </c>
      <c r="E12">
        <v>15</v>
      </c>
      <c r="F12">
        <f>(Table5[[#This Row],[RANK(L.R.)]]-Table5[[#This Row],[RANK(S.R.)]])^2</f>
        <v>25</v>
      </c>
      <c r="G12" s="2"/>
      <c r="H12" s="2"/>
      <c r="I12" s="2"/>
      <c r="J12" s="2"/>
      <c r="K12" s="2"/>
      <c r="L12" s="2"/>
      <c r="M12" s="2"/>
      <c r="N12" s="2"/>
      <c r="O12" s="2"/>
      <c r="P12" s="2"/>
      <c r="Q12" s="2"/>
      <c r="R12" s="2"/>
      <c r="S12" s="2"/>
      <c r="T12" s="2"/>
      <c r="U12" s="2"/>
    </row>
    <row r="13" spans="1:21">
      <c r="A13" t="s">
        <v>28</v>
      </c>
      <c r="B13">
        <v>82.2</v>
      </c>
      <c r="C13">
        <v>890</v>
      </c>
      <c r="D13">
        <v>3</v>
      </c>
      <c r="E13">
        <v>9</v>
      </c>
      <c r="F13">
        <f>(Table5[[#This Row],[RANK(L.R.)]]-Table5[[#This Row],[RANK(S.R.)]])^2</f>
        <v>36</v>
      </c>
      <c r="G13" s="2"/>
      <c r="H13" s="2"/>
      <c r="I13" s="2"/>
      <c r="J13" s="2"/>
      <c r="K13" s="2"/>
      <c r="L13" s="2"/>
      <c r="M13" s="2"/>
      <c r="N13" s="2"/>
      <c r="O13" s="2"/>
      <c r="P13" s="2"/>
      <c r="Q13" s="2"/>
      <c r="R13" s="2"/>
      <c r="S13" s="2"/>
      <c r="T13" s="2"/>
      <c r="U13" s="2"/>
    </row>
    <row r="14" spans="1:21">
      <c r="A14" t="s">
        <v>18</v>
      </c>
      <c r="B14">
        <v>67.63</v>
      </c>
      <c r="C14">
        <v>948</v>
      </c>
      <c r="D14">
        <v>22</v>
      </c>
      <c r="E14">
        <v>29</v>
      </c>
      <c r="F14">
        <f>(Table5[[#This Row],[RANK(L.R.)]]-Table5[[#This Row],[RANK(S.R.)]])^2</f>
        <v>49</v>
      </c>
      <c r="G14" s="2"/>
      <c r="H14" s="2"/>
      <c r="I14" s="2"/>
      <c r="J14" s="2"/>
      <c r="K14" s="2"/>
      <c r="L14" s="2"/>
      <c r="M14" s="2"/>
      <c r="N14" s="2"/>
      <c r="O14" s="2"/>
      <c r="P14" s="2"/>
      <c r="Q14" s="2"/>
      <c r="R14" s="2"/>
      <c r="S14" s="2"/>
      <c r="T14" s="2"/>
      <c r="U14" s="2"/>
    </row>
    <row r="15" spans="1:21">
      <c r="A15" t="s">
        <v>24</v>
      </c>
      <c r="B15">
        <v>80.11</v>
      </c>
      <c r="C15">
        <v>931</v>
      </c>
      <c r="D15">
        <v>29</v>
      </c>
      <c r="E15">
        <v>20</v>
      </c>
      <c r="F15">
        <f>(Table5[[#This Row],[RANK(L.R.)]]-Table5[[#This Row],[RANK(S.R.)]])^2</f>
        <v>81</v>
      </c>
      <c r="G15" s="2"/>
      <c r="H15" s="2"/>
      <c r="I15" s="2"/>
      <c r="J15" s="2"/>
      <c r="K15" s="2"/>
      <c r="L15" s="2"/>
      <c r="M15" s="2"/>
      <c r="N15" s="2"/>
      <c r="O15" s="2"/>
      <c r="P15" s="2"/>
      <c r="Q15" s="2"/>
      <c r="R15" s="2"/>
      <c r="S15" s="2"/>
      <c r="T15" s="2"/>
      <c r="U15" s="2"/>
    </row>
    <row r="16" spans="1:21">
      <c r="A16" t="s">
        <v>25</v>
      </c>
      <c r="B16">
        <v>73.45</v>
      </c>
      <c r="C16">
        <v>979</v>
      </c>
      <c r="D16">
        <v>12</v>
      </c>
      <c r="E16">
        <v>21</v>
      </c>
      <c r="F16">
        <f>(Table5[[#This Row],[RANK(L.R.)]]-Table5[[#This Row],[RANK(S.R.)]])^2</f>
        <v>81</v>
      </c>
      <c r="G16" s="2"/>
      <c r="H16" s="2"/>
      <c r="I16" s="2"/>
      <c r="J16" s="2"/>
      <c r="K16" s="2"/>
      <c r="L16" s="2"/>
      <c r="M16" s="2"/>
      <c r="N16" s="2"/>
      <c r="O16" s="2"/>
      <c r="P16" s="2"/>
      <c r="Q16" s="2"/>
      <c r="R16" s="2"/>
      <c r="S16" s="2"/>
      <c r="T16" s="2"/>
      <c r="U16" s="2"/>
    </row>
    <row r="17" spans="1:21">
      <c r="A17" t="s">
        <v>26</v>
      </c>
      <c r="B17">
        <v>76.680000000000007</v>
      </c>
      <c r="C17">
        <v>895</v>
      </c>
      <c r="D17">
        <v>16</v>
      </c>
      <c r="E17">
        <v>7</v>
      </c>
      <c r="F17">
        <f>(Table5[[#This Row],[RANK(L.R.)]]-Table5[[#This Row],[RANK(S.R.)]])^2</f>
        <v>81</v>
      </c>
      <c r="G17" s="2"/>
      <c r="H17" s="2"/>
      <c r="I17" s="2"/>
      <c r="J17" s="2"/>
      <c r="K17" s="2"/>
      <c r="L17" s="2"/>
      <c r="M17" s="2"/>
      <c r="N17" s="2"/>
      <c r="O17" s="2"/>
      <c r="P17" s="2"/>
      <c r="Q17" s="2"/>
      <c r="R17" s="2"/>
      <c r="S17" s="2"/>
      <c r="T17" s="2"/>
      <c r="U17" s="2"/>
    </row>
    <row r="18" spans="1:21">
      <c r="A18" t="s">
        <v>35</v>
      </c>
      <c r="B18">
        <v>87.07</v>
      </c>
      <c r="C18">
        <v>618</v>
      </c>
      <c r="D18">
        <v>4</v>
      </c>
      <c r="E18">
        <v>13</v>
      </c>
      <c r="F18">
        <f>(Table5[[#This Row],[RANK(L.R.)]]-Table5[[#This Row],[RANK(S.R.)]])^2</f>
        <v>81</v>
      </c>
      <c r="G18" s="2"/>
      <c r="H18" s="2"/>
      <c r="I18" s="2"/>
      <c r="J18" s="2"/>
      <c r="K18" s="2"/>
      <c r="L18" s="2"/>
      <c r="M18" s="2"/>
      <c r="N18" s="2"/>
      <c r="O18" s="2"/>
      <c r="P18" s="2"/>
      <c r="Q18" s="2"/>
      <c r="R18" s="2"/>
      <c r="S18" s="2"/>
      <c r="T18" s="2"/>
      <c r="U18" s="2"/>
    </row>
    <row r="19" spans="1:21">
      <c r="A19" t="s">
        <v>34</v>
      </c>
      <c r="B19">
        <v>77.650000000000006</v>
      </c>
      <c r="C19">
        <v>774</v>
      </c>
      <c r="D19">
        <v>14</v>
      </c>
      <c r="E19">
        <v>3</v>
      </c>
      <c r="F19">
        <f>(Table5[[#This Row],[RANK(L.R.)]]-Table5[[#This Row],[RANK(S.R.)]])^2</f>
        <v>121</v>
      </c>
      <c r="G19" s="2"/>
      <c r="H19" s="2"/>
      <c r="I19" s="2"/>
      <c r="J19" s="2"/>
      <c r="K19" s="2"/>
      <c r="L19" s="2"/>
      <c r="M19" s="2"/>
      <c r="N19" s="2"/>
      <c r="O19" s="2"/>
      <c r="P19" s="2"/>
      <c r="Q19" s="2"/>
      <c r="R19" s="2"/>
      <c r="S19" s="2"/>
      <c r="T19" s="2"/>
      <c r="U19" s="2"/>
    </row>
    <row r="20" spans="1:21">
      <c r="A20" t="s">
        <v>14</v>
      </c>
      <c r="B20">
        <v>63.82</v>
      </c>
      <c r="C20">
        <v>918</v>
      </c>
      <c r="D20">
        <v>36</v>
      </c>
      <c r="E20">
        <v>24</v>
      </c>
      <c r="F20">
        <f>(Table5[[#This Row],[RANK(L.R.)]]-Table5[[#This Row],[RANK(S.R.)]])^2</f>
        <v>144</v>
      </c>
      <c r="G20" s="2"/>
      <c r="H20" s="2"/>
      <c r="I20" s="2"/>
      <c r="J20" s="2"/>
      <c r="K20" s="2"/>
      <c r="L20" s="2"/>
      <c r="M20" s="2"/>
      <c r="N20" s="2"/>
      <c r="O20" s="2"/>
      <c r="P20" s="2"/>
      <c r="Q20" s="2"/>
      <c r="R20" s="2"/>
      <c r="S20" s="2"/>
      <c r="T20" s="2"/>
      <c r="U20" s="2"/>
    </row>
    <row r="21" spans="1:21">
      <c r="A21" t="s">
        <v>32</v>
      </c>
      <c r="B21">
        <v>86.27</v>
      </c>
      <c r="C21">
        <v>876</v>
      </c>
      <c r="D21">
        <v>34</v>
      </c>
      <c r="E21">
        <v>22</v>
      </c>
      <c r="F21">
        <f>(Table5[[#This Row],[RANK(L.R.)]]-Table5[[#This Row],[RANK(S.R.)]])^2</f>
        <v>144</v>
      </c>
      <c r="G21" s="2"/>
      <c r="H21" s="2"/>
      <c r="I21" s="2"/>
      <c r="J21" s="2"/>
      <c r="K21" s="2"/>
      <c r="L21" s="2"/>
      <c r="M21" s="2"/>
      <c r="N21" s="2"/>
      <c r="O21" s="2"/>
      <c r="P21" s="2"/>
      <c r="Q21" s="2"/>
      <c r="R21" s="2"/>
      <c r="S21" s="2"/>
      <c r="T21" s="2"/>
      <c r="U21" s="2"/>
    </row>
    <row r="22" spans="1:21">
      <c r="A22" t="s">
        <v>13</v>
      </c>
      <c r="B22">
        <v>73.180000000000007</v>
      </c>
      <c r="C22">
        <v>958</v>
      </c>
      <c r="D22">
        <v>27</v>
      </c>
      <c r="E22">
        <v>14</v>
      </c>
      <c r="F22">
        <f>(Table5[[#This Row],[RANK(L.R.)]]-Table5[[#This Row],[RANK(S.R.)]])^2</f>
        <v>169</v>
      </c>
      <c r="G22" s="2"/>
      <c r="H22" s="2"/>
      <c r="I22" s="2"/>
      <c r="J22" s="2"/>
      <c r="K22" s="2"/>
      <c r="L22" s="2"/>
      <c r="M22" s="2"/>
      <c r="N22" s="2"/>
      <c r="O22" s="2"/>
      <c r="P22" s="2"/>
      <c r="Q22" s="2"/>
      <c r="R22" s="2"/>
      <c r="S22" s="2"/>
      <c r="T22" s="2"/>
      <c r="U22" s="2"/>
    </row>
    <row r="23" spans="1:21">
      <c r="A23" t="s">
        <v>22</v>
      </c>
      <c r="B23">
        <v>79.849999999999994</v>
      </c>
      <c r="C23">
        <v>985</v>
      </c>
      <c r="D23">
        <v>23</v>
      </c>
      <c r="E23">
        <v>10</v>
      </c>
      <c r="F23">
        <f>(Table5[[#This Row],[RANK(L.R.)]]-Table5[[#This Row],[RANK(S.R.)]])^2</f>
        <v>169</v>
      </c>
      <c r="G23" s="2"/>
      <c r="H23" s="2"/>
      <c r="I23" s="2"/>
      <c r="J23" s="2"/>
      <c r="K23" s="2"/>
      <c r="L23" s="2"/>
      <c r="M23" s="2"/>
      <c r="N23" s="2"/>
      <c r="O23" s="2"/>
      <c r="P23" s="2"/>
      <c r="Q23" s="2"/>
      <c r="R23" s="2"/>
      <c r="S23" s="2"/>
      <c r="T23" s="2"/>
      <c r="U23" s="2"/>
    </row>
    <row r="24" spans="1:21">
      <c r="A24" t="s">
        <v>42</v>
      </c>
      <c r="B24">
        <v>79.31</v>
      </c>
      <c r="C24">
        <v>919</v>
      </c>
      <c r="D24">
        <v>19</v>
      </c>
      <c r="E24">
        <v>33</v>
      </c>
      <c r="F24">
        <f>(Table5[[#This Row],[RANK(L.R.)]]-Table5[[#This Row],[RANK(S.R.)]])^2</f>
        <v>196</v>
      </c>
      <c r="G24" s="2"/>
      <c r="H24" s="2"/>
      <c r="I24" s="2"/>
      <c r="J24" s="2"/>
      <c r="K24" s="2"/>
      <c r="L24" s="2"/>
      <c r="M24" s="2"/>
      <c r="N24" s="2"/>
      <c r="O24" s="2"/>
      <c r="P24" s="2"/>
      <c r="Q24" s="2"/>
      <c r="R24" s="2"/>
      <c r="S24" s="2"/>
      <c r="T24" s="2"/>
      <c r="U24" s="2"/>
    </row>
    <row r="25" spans="1:21">
      <c r="A25" t="s">
        <v>33</v>
      </c>
      <c r="B25">
        <v>86.43</v>
      </c>
      <c r="C25">
        <v>818</v>
      </c>
      <c r="D25">
        <v>13</v>
      </c>
      <c r="E25">
        <v>27</v>
      </c>
      <c r="F25">
        <f>(Table5[[#This Row],[RANK(L.R.)]]-Table5[[#This Row],[RANK(S.R.)]])^2</f>
        <v>196</v>
      </c>
      <c r="G25" s="2"/>
      <c r="H25" s="2"/>
      <c r="I25" s="2"/>
      <c r="J25" s="2"/>
      <c r="K25" s="2"/>
      <c r="L25" s="2"/>
      <c r="M25" s="2"/>
      <c r="N25" s="2"/>
      <c r="O25" s="2"/>
      <c r="P25" s="2"/>
      <c r="Q25" s="2"/>
      <c r="R25" s="2"/>
      <c r="S25" s="2"/>
      <c r="T25" s="2"/>
      <c r="U25" s="2"/>
    </row>
    <row r="26" spans="1:21">
      <c r="A26" t="s">
        <v>44</v>
      </c>
      <c r="B26">
        <v>91.58</v>
      </c>
      <c r="C26">
        <v>976</v>
      </c>
      <c r="D26">
        <v>2</v>
      </c>
      <c r="E26">
        <v>17</v>
      </c>
      <c r="F26">
        <f>(Table5[[#This Row],[RANK(L.R.)]]-Table5[[#This Row],[RANK(S.R.)]])^2</f>
        <v>225</v>
      </c>
      <c r="G26" s="2"/>
      <c r="H26" s="2"/>
      <c r="I26" s="2"/>
      <c r="J26" s="2"/>
      <c r="K26" s="2"/>
      <c r="L26" s="2"/>
      <c r="M26" s="2"/>
      <c r="N26" s="2"/>
      <c r="O26" s="2"/>
      <c r="P26" s="2"/>
      <c r="Q26" s="2"/>
      <c r="R26" s="2"/>
      <c r="S26" s="2"/>
      <c r="T26" s="2"/>
      <c r="U26" s="2"/>
    </row>
    <row r="27" spans="1:21">
      <c r="A27" t="s">
        <v>12</v>
      </c>
      <c r="B27">
        <v>66.95</v>
      </c>
      <c r="C27">
        <v>938</v>
      </c>
      <c r="D27">
        <v>35</v>
      </c>
      <c r="E27">
        <v>19</v>
      </c>
      <c r="F27">
        <f>(Table5[[#This Row],[RANK(L.R.)]]-Table5[[#This Row],[RANK(S.R.)]])^2</f>
        <v>256</v>
      </c>
      <c r="G27" s="2"/>
      <c r="H27" s="2"/>
      <c r="I27" s="2"/>
      <c r="J27" s="2"/>
      <c r="K27" s="2"/>
      <c r="L27" s="2"/>
      <c r="M27" s="2"/>
      <c r="N27" s="2"/>
      <c r="O27" s="2"/>
      <c r="P27" s="2"/>
      <c r="Q27" s="2"/>
      <c r="R27" s="2"/>
      <c r="S27" s="2"/>
      <c r="T27" s="2"/>
      <c r="U27" s="2"/>
    </row>
    <row r="28" spans="1:21">
      <c r="A28" t="s">
        <v>21</v>
      </c>
      <c r="B28">
        <v>82.91</v>
      </c>
      <c r="C28">
        <v>929</v>
      </c>
      <c r="D28">
        <v>33</v>
      </c>
      <c r="E28">
        <v>16</v>
      </c>
      <c r="F28">
        <f>(Table5[[#This Row],[RANK(L.R.)]]-Table5[[#This Row],[RANK(S.R.)]])^2</f>
        <v>289</v>
      </c>
      <c r="G28" s="2"/>
      <c r="H28" s="2"/>
      <c r="I28" s="2"/>
      <c r="J28" s="2"/>
      <c r="K28" s="2"/>
      <c r="L28" s="2"/>
      <c r="M28" s="2"/>
      <c r="N28" s="2"/>
      <c r="O28" s="2"/>
      <c r="P28" s="2"/>
      <c r="Q28" s="2"/>
      <c r="R28" s="2"/>
      <c r="S28" s="2"/>
      <c r="T28" s="2"/>
      <c r="U28" s="2"/>
    </row>
    <row r="29" spans="1:21">
      <c r="A29" t="s">
        <v>27</v>
      </c>
      <c r="B29">
        <v>67.06</v>
      </c>
      <c r="C29">
        <v>928</v>
      </c>
      <c r="D29">
        <v>24</v>
      </c>
      <c r="E29">
        <v>6</v>
      </c>
      <c r="F29">
        <f>(Table5[[#This Row],[RANK(L.R.)]]-Table5[[#This Row],[RANK(S.R.)]])^2</f>
        <v>324</v>
      </c>
      <c r="G29" s="2"/>
      <c r="H29" s="2"/>
      <c r="I29" s="2"/>
      <c r="J29" s="2"/>
      <c r="K29" s="2"/>
      <c r="L29" s="2"/>
      <c r="M29" s="2"/>
      <c r="N29" s="2"/>
      <c r="O29" s="2"/>
      <c r="P29" s="2"/>
      <c r="Q29" s="2"/>
      <c r="R29" s="2"/>
      <c r="S29" s="2"/>
      <c r="T29" s="2"/>
      <c r="U29" s="2"/>
    </row>
    <row r="30" spans="1:21">
      <c r="A30" t="s">
        <v>30</v>
      </c>
      <c r="B30">
        <v>69.72</v>
      </c>
      <c r="C30">
        <v>912</v>
      </c>
      <c r="D30">
        <v>26</v>
      </c>
      <c r="E30">
        <v>8</v>
      </c>
      <c r="F30">
        <f>(Table5[[#This Row],[RANK(L.R.)]]-Table5[[#This Row],[RANK(S.R.)]])^2</f>
        <v>324</v>
      </c>
      <c r="G30" s="2"/>
      <c r="H30" s="2"/>
      <c r="I30" s="2"/>
      <c r="J30" s="2"/>
      <c r="K30" s="2"/>
      <c r="L30" s="2"/>
      <c r="M30" s="2"/>
      <c r="N30" s="2"/>
      <c r="O30" s="2"/>
      <c r="P30" s="2"/>
      <c r="Q30" s="2"/>
      <c r="R30" s="2"/>
      <c r="S30" s="2"/>
      <c r="T30" s="2"/>
      <c r="U30" s="2"/>
    </row>
    <row r="31" spans="1:21">
      <c r="A31" t="s">
        <v>40</v>
      </c>
      <c r="B31">
        <v>74.040000000000006</v>
      </c>
      <c r="C31">
        <v>943</v>
      </c>
      <c r="D31">
        <v>10</v>
      </c>
      <c r="E31">
        <v>30</v>
      </c>
      <c r="F31">
        <f>(Table5[[#This Row],[RANK(L.R.)]]-Table5[[#This Row],[RANK(S.R.)]])^2</f>
        <v>400</v>
      </c>
      <c r="G31" s="2"/>
      <c r="H31" s="2"/>
      <c r="I31" s="2"/>
      <c r="J31" s="2"/>
      <c r="K31" s="2"/>
      <c r="L31" s="2"/>
      <c r="M31" s="2"/>
      <c r="N31" s="2"/>
      <c r="O31" s="2"/>
      <c r="P31" s="2"/>
      <c r="Q31" s="2"/>
      <c r="R31" s="2"/>
      <c r="S31" s="2"/>
      <c r="T31" s="2"/>
      <c r="U31" s="2"/>
    </row>
    <row r="32" spans="1:21">
      <c r="A32" t="s">
        <v>45</v>
      </c>
      <c r="B32">
        <v>87.75</v>
      </c>
      <c r="C32">
        <v>960</v>
      </c>
      <c r="D32">
        <v>9</v>
      </c>
      <c r="E32">
        <v>31</v>
      </c>
      <c r="F32">
        <f>(Table5[[#This Row],[RANK(L.R.)]]-Table5[[#This Row],[RANK(S.R.)]])^2</f>
        <v>484</v>
      </c>
      <c r="G32" s="2"/>
      <c r="H32" s="2"/>
      <c r="I32" s="2"/>
      <c r="J32" s="2"/>
      <c r="K32" s="2"/>
      <c r="L32" s="2"/>
      <c r="M32" s="2"/>
      <c r="N32" s="2"/>
      <c r="O32" s="2"/>
      <c r="P32" s="2"/>
      <c r="Q32" s="2"/>
      <c r="R32" s="2"/>
      <c r="S32" s="2"/>
      <c r="T32" s="2"/>
      <c r="U32" s="2"/>
    </row>
    <row r="33" spans="1:21">
      <c r="A33" t="s">
        <v>15</v>
      </c>
      <c r="B33">
        <v>87.4</v>
      </c>
      <c r="C33">
        <v>973</v>
      </c>
      <c r="D33">
        <v>28</v>
      </c>
      <c r="E33">
        <v>5</v>
      </c>
      <c r="F33">
        <f>(Table5[[#This Row],[RANK(L.R.)]]-Table5[[#This Row],[RANK(S.R.)]])^2</f>
        <v>529</v>
      </c>
      <c r="G33" s="2"/>
      <c r="H33" s="2"/>
      <c r="I33" s="2"/>
      <c r="J33" s="2"/>
      <c r="K33" s="2"/>
      <c r="L33" s="2"/>
      <c r="M33" s="2"/>
      <c r="N33" s="2"/>
      <c r="O33" s="2"/>
      <c r="P33" s="2"/>
      <c r="Q33" s="2"/>
      <c r="R33" s="2"/>
      <c r="S33" s="2"/>
      <c r="T33" s="2"/>
      <c r="U33" s="2"/>
    </row>
    <row r="34" spans="1:21">
      <c r="A34" t="s">
        <v>41</v>
      </c>
      <c r="B34">
        <v>71.040000000000006</v>
      </c>
      <c r="C34">
        <v>991</v>
      </c>
      <c r="D34">
        <v>8</v>
      </c>
      <c r="E34">
        <v>32</v>
      </c>
      <c r="F34">
        <f>(Table5[[#This Row],[RANK(L.R.)]]-Table5[[#This Row],[RANK(S.R.)]])^2</f>
        <v>576</v>
      </c>
      <c r="G34" s="2"/>
      <c r="H34" s="2"/>
      <c r="I34" s="2"/>
      <c r="J34" s="2"/>
      <c r="K34" s="2"/>
      <c r="L34" s="2"/>
      <c r="M34" s="2"/>
      <c r="N34" s="2"/>
      <c r="O34" s="2"/>
      <c r="P34" s="2"/>
      <c r="Q34" s="2"/>
      <c r="R34" s="2"/>
      <c r="S34" s="2"/>
      <c r="T34" s="2"/>
      <c r="U34" s="2"/>
    </row>
    <row r="35" spans="1:21">
      <c r="A35" t="s">
        <v>11</v>
      </c>
      <c r="B35">
        <v>67.66</v>
      </c>
      <c r="C35">
        <v>993</v>
      </c>
      <c r="D35">
        <v>32</v>
      </c>
      <c r="E35">
        <v>4</v>
      </c>
      <c r="F35">
        <f>(Table5[[#This Row],[RANK(L.R.)]]-Table5[[#This Row],[RANK(S.R.)]])^2</f>
        <v>784</v>
      </c>
      <c r="G35" s="2"/>
      <c r="H35" s="2"/>
      <c r="I35" s="2"/>
      <c r="J35" s="2"/>
      <c r="K35" s="2"/>
      <c r="L35" s="2"/>
      <c r="M35" s="2"/>
      <c r="N35" s="2"/>
      <c r="O35" s="2"/>
      <c r="P35" s="2"/>
      <c r="Q35" s="2"/>
      <c r="R35" s="2"/>
      <c r="S35" s="2"/>
      <c r="T35" s="2"/>
      <c r="U35" s="2"/>
    </row>
    <row r="36" spans="1:21">
      <c r="A36" t="s">
        <v>43</v>
      </c>
      <c r="B36">
        <v>76.64</v>
      </c>
      <c r="C36">
        <v>879</v>
      </c>
      <c r="D36">
        <v>6</v>
      </c>
      <c r="E36">
        <v>34</v>
      </c>
      <c r="F36">
        <f>(Table5[[#This Row],[RANK(L.R.)]]-Table5[[#This Row],[RANK(S.R.)]])^2</f>
        <v>784</v>
      </c>
      <c r="G36" s="2"/>
      <c r="H36" s="2"/>
      <c r="I36" s="2"/>
      <c r="J36" s="2"/>
      <c r="K36" s="2"/>
      <c r="L36" s="2"/>
      <c r="M36" s="2"/>
      <c r="N36" s="2"/>
      <c r="O36" s="2"/>
      <c r="P36" s="2"/>
      <c r="Q36" s="2"/>
      <c r="R36" s="2"/>
      <c r="S36" s="2"/>
      <c r="T36" s="2"/>
      <c r="U36" s="2"/>
    </row>
    <row r="37" spans="1:21">
      <c r="A37" s="2"/>
      <c r="B37" s="2"/>
      <c r="C37" s="2"/>
      <c r="D37" s="2"/>
      <c r="E37" s="2"/>
      <c r="F37" s="2"/>
      <c r="G37" s="2"/>
      <c r="H37" s="2"/>
      <c r="I37" s="2"/>
      <c r="J37" s="2"/>
      <c r="K37" s="2"/>
      <c r="L37" s="2"/>
      <c r="M37" s="2"/>
      <c r="N37" s="2"/>
      <c r="O37" s="2"/>
      <c r="P37" s="2"/>
      <c r="Q37" s="2"/>
      <c r="R37" s="2"/>
      <c r="S37" s="2"/>
      <c r="T37" s="2"/>
      <c r="U37" s="2"/>
    </row>
    <row r="38" spans="1:21">
      <c r="A38" s="2"/>
      <c r="B38" s="2"/>
      <c r="C38" s="2"/>
      <c r="D38" s="2"/>
      <c r="E38" s="2"/>
      <c r="F38" s="2"/>
      <c r="G38" s="2"/>
      <c r="H38" s="2"/>
      <c r="I38" s="2"/>
      <c r="J38" s="2"/>
      <c r="K38" s="2"/>
      <c r="L38" s="2"/>
      <c r="M38" s="2"/>
      <c r="N38" s="2"/>
      <c r="O38" s="2"/>
      <c r="P38" s="2"/>
      <c r="Q38" s="2"/>
      <c r="R38" s="2"/>
      <c r="S38" s="2"/>
      <c r="T38" s="2"/>
      <c r="U38" s="2"/>
    </row>
    <row r="39" spans="1:21">
      <c r="A39" s="2"/>
      <c r="B39" s="2"/>
      <c r="C39" s="2"/>
      <c r="D39" s="2"/>
      <c r="E39" s="2"/>
      <c r="F39" s="2"/>
      <c r="G39" s="2"/>
      <c r="H39" s="2"/>
      <c r="I39" s="2"/>
      <c r="J39" s="2"/>
      <c r="K39" s="2"/>
      <c r="L39" s="2"/>
      <c r="M39" s="2"/>
      <c r="N39" s="2"/>
      <c r="O39" s="2"/>
      <c r="P39" s="2"/>
      <c r="Q39" s="2"/>
      <c r="R39" s="2"/>
      <c r="S39" s="2"/>
      <c r="T39" s="2"/>
      <c r="U39" s="2"/>
    </row>
    <row r="40" spans="1:21">
      <c r="A40" s="2"/>
      <c r="B40" s="2"/>
      <c r="C40" s="2"/>
      <c r="D40" s="2"/>
      <c r="E40" s="2"/>
      <c r="F40" s="2"/>
      <c r="G40" s="2"/>
      <c r="H40" s="2"/>
      <c r="I40" s="2"/>
      <c r="J40" s="2"/>
      <c r="K40" s="2"/>
      <c r="L40" s="2"/>
      <c r="M40" s="2"/>
      <c r="N40" s="2"/>
      <c r="O40" s="2"/>
      <c r="P40" s="2"/>
      <c r="Q40" s="2"/>
      <c r="R40" s="2"/>
      <c r="S40" s="2"/>
      <c r="T40" s="2"/>
      <c r="U40" s="2"/>
    </row>
    <row r="41" spans="1:21">
      <c r="A41" s="2"/>
      <c r="B41" s="2"/>
      <c r="C41" s="2"/>
      <c r="D41" s="2"/>
      <c r="E41" s="2"/>
      <c r="F41" s="2"/>
      <c r="G41" s="2"/>
      <c r="H41" s="2"/>
      <c r="I41" s="2"/>
      <c r="J41" s="2"/>
      <c r="K41" s="2"/>
      <c r="L41" s="2"/>
      <c r="M41" s="2"/>
      <c r="N41" s="2"/>
      <c r="O41" s="2"/>
      <c r="P41" s="2"/>
      <c r="Q41" s="2"/>
      <c r="R41" s="2"/>
      <c r="S41" s="2"/>
      <c r="T41" s="2"/>
      <c r="U41" s="2"/>
    </row>
    <row r="42" spans="1:21">
      <c r="A42" s="2"/>
      <c r="B42" s="2"/>
      <c r="C42" s="2"/>
      <c r="D42" s="2"/>
      <c r="E42" s="2"/>
      <c r="F42" s="2"/>
      <c r="G42" s="2"/>
      <c r="H42" s="2"/>
      <c r="I42" s="2"/>
      <c r="J42" s="2"/>
      <c r="K42" s="2"/>
      <c r="L42" s="2"/>
      <c r="M42" s="2"/>
      <c r="N42" s="2"/>
      <c r="O42" s="2"/>
      <c r="P42" s="2"/>
      <c r="Q42" s="2"/>
      <c r="R42" s="2"/>
      <c r="S42" s="2"/>
      <c r="T42" s="2"/>
      <c r="U42" s="2"/>
    </row>
    <row r="43" spans="1:21">
      <c r="A43" s="2"/>
      <c r="B43" s="2"/>
      <c r="C43" s="2"/>
      <c r="D43" s="2"/>
      <c r="E43" s="2"/>
      <c r="F43" s="2"/>
      <c r="G43" s="2"/>
      <c r="H43" s="2"/>
      <c r="I43" s="2"/>
      <c r="J43" s="2"/>
      <c r="K43" s="2"/>
      <c r="L43" s="2"/>
      <c r="M43" s="2"/>
      <c r="N43" s="2"/>
      <c r="O43" s="2"/>
      <c r="P43" s="2"/>
      <c r="Q43" s="2"/>
      <c r="R43" s="2"/>
      <c r="S43" s="2"/>
      <c r="T43" s="2"/>
      <c r="U43" s="2"/>
    </row>
    <row r="44" spans="1:21">
      <c r="A44" s="2"/>
      <c r="B44" s="2"/>
      <c r="C44" s="2"/>
      <c r="D44" s="2"/>
      <c r="E44" s="2"/>
      <c r="F44" s="2"/>
      <c r="G44" s="2"/>
      <c r="H44" s="2"/>
      <c r="I44" s="2"/>
      <c r="J44" s="2"/>
      <c r="K44" s="2"/>
      <c r="L44" s="2"/>
      <c r="M44" s="2"/>
      <c r="N44" s="2"/>
      <c r="O44" s="2"/>
      <c r="P44" s="2"/>
      <c r="Q44" s="2"/>
      <c r="R44" s="2"/>
      <c r="S44" s="2"/>
      <c r="T44" s="2"/>
      <c r="U44" s="2"/>
    </row>
    <row r="45" spans="1:21">
      <c r="A45" s="2"/>
      <c r="B45" s="2"/>
      <c r="C45" s="2"/>
      <c r="D45" s="2"/>
      <c r="E45" s="2"/>
      <c r="F45" s="2"/>
      <c r="G45" s="2"/>
      <c r="H45" s="2"/>
      <c r="I45" s="2"/>
      <c r="J45" s="2"/>
      <c r="K45" s="2"/>
      <c r="L45" s="2"/>
      <c r="M45" s="2"/>
      <c r="N45" s="2"/>
      <c r="O45" s="2"/>
      <c r="P45" s="2"/>
      <c r="Q45" s="2"/>
      <c r="R45" s="2"/>
      <c r="S45" s="2"/>
      <c r="T45" s="2"/>
      <c r="U45" s="2"/>
    </row>
    <row r="46" spans="1:21">
      <c r="A46" s="2"/>
      <c r="B46" s="2"/>
      <c r="C46" s="2"/>
      <c r="D46" s="2"/>
      <c r="E46" s="2"/>
      <c r="F46" s="2"/>
      <c r="G46" s="2"/>
      <c r="H46" s="2"/>
      <c r="I46" s="2"/>
      <c r="J46" s="2"/>
      <c r="K46" s="2"/>
      <c r="L46" s="2"/>
      <c r="M46" s="2"/>
      <c r="N46" s="2"/>
      <c r="O46" s="2"/>
      <c r="P46" s="2"/>
      <c r="Q46" s="2"/>
      <c r="R46" s="2"/>
      <c r="S46" s="2"/>
      <c r="T46" s="2"/>
      <c r="U46" s="2"/>
    </row>
    <row r="47" spans="1:21">
      <c r="A47" s="2"/>
      <c r="B47" s="2"/>
      <c r="C47" s="2"/>
      <c r="D47" s="2"/>
      <c r="E47" s="2"/>
      <c r="F47" s="2"/>
      <c r="G47" s="2"/>
      <c r="H47" s="2"/>
      <c r="I47" s="2"/>
      <c r="J47" s="2"/>
      <c r="K47" s="2"/>
      <c r="L47" s="2"/>
      <c r="M47" s="2"/>
      <c r="N47" s="2"/>
      <c r="O47" s="2"/>
      <c r="P47" s="2"/>
      <c r="Q47" s="2"/>
      <c r="R47" s="2"/>
      <c r="S47" s="2"/>
      <c r="T47" s="2"/>
      <c r="U47" s="2"/>
    </row>
    <row r="48" spans="1:21">
      <c r="A48" s="2"/>
      <c r="B48" s="2"/>
      <c r="C48" s="2"/>
      <c r="D48" s="2"/>
      <c r="E48" s="2"/>
      <c r="F48" s="2"/>
      <c r="G48" s="2"/>
      <c r="H48" s="2"/>
      <c r="I48" s="2"/>
      <c r="J48" s="2"/>
      <c r="K48" s="2"/>
      <c r="L48" s="2"/>
      <c r="M48" s="2"/>
      <c r="N48" s="2"/>
      <c r="O48" s="2"/>
      <c r="P48" s="2"/>
      <c r="Q48" s="2"/>
      <c r="R48" s="2"/>
      <c r="S48" s="2"/>
      <c r="T48" s="2"/>
      <c r="U48" s="2"/>
    </row>
    <row r="49" spans="1:21">
      <c r="A49" s="2"/>
      <c r="B49" s="2"/>
      <c r="C49" s="2"/>
      <c r="D49" s="2"/>
      <c r="E49" s="2"/>
      <c r="F49" s="2"/>
      <c r="G49" s="2"/>
      <c r="H49" s="2"/>
      <c r="I49" s="2"/>
      <c r="J49" s="2"/>
      <c r="K49" s="2"/>
      <c r="L49" s="2"/>
      <c r="M49" s="2"/>
      <c r="N49" s="2"/>
      <c r="O49" s="2"/>
      <c r="P49" s="2"/>
      <c r="Q49" s="2"/>
      <c r="R49" s="2"/>
      <c r="S49" s="2"/>
      <c r="T49" s="2"/>
      <c r="U49" s="2"/>
    </row>
    <row r="50" spans="1:21">
      <c r="A50" s="2"/>
      <c r="B50" s="2"/>
      <c r="C50" s="2"/>
      <c r="D50" s="2"/>
      <c r="E50" s="2"/>
      <c r="F50" s="2"/>
      <c r="G50" s="2"/>
      <c r="H50" s="2"/>
      <c r="I50" s="2"/>
      <c r="J50" s="2"/>
      <c r="K50" s="2"/>
      <c r="L50" s="2"/>
      <c r="M50" s="2"/>
      <c r="N50" s="2"/>
      <c r="O50" s="2"/>
      <c r="P50" s="2"/>
      <c r="Q50" s="2"/>
      <c r="R50" s="2"/>
      <c r="S50" s="2"/>
      <c r="T50" s="2"/>
      <c r="U50" s="2"/>
    </row>
    <row r="51" spans="1:21">
      <c r="A51" s="2"/>
      <c r="B51" s="2"/>
      <c r="C51" s="2"/>
      <c r="D51" s="2"/>
      <c r="E51" s="2"/>
      <c r="F51" s="2"/>
      <c r="G51" s="2"/>
      <c r="H51" s="2"/>
      <c r="I51" s="2"/>
      <c r="J51" s="2"/>
      <c r="K51" s="2"/>
      <c r="L51" s="2"/>
      <c r="M51" s="2"/>
      <c r="N51" s="2"/>
      <c r="O51" s="2"/>
      <c r="P51" s="2"/>
      <c r="Q51" s="2"/>
      <c r="R51" s="2"/>
      <c r="S51" s="2"/>
      <c r="T51" s="2"/>
      <c r="U51" s="2"/>
    </row>
    <row r="52" spans="1:21">
      <c r="A52" s="2"/>
      <c r="B52" s="2"/>
      <c r="C52" s="2"/>
      <c r="D52" s="2"/>
      <c r="E52" s="2"/>
      <c r="F52" s="2"/>
      <c r="G52" s="2"/>
      <c r="H52" s="2"/>
      <c r="I52" s="2"/>
      <c r="J52" s="2"/>
      <c r="K52" s="2"/>
      <c r="L52" s="2"/>
      <c r="M52" s="2"/>
      <c r="N52" s="2"/>
      <c r="O52" s="2"/>
      <c r="P52" s="2"/>
      <c r="Q52" s="2"/>
      <c r="R52" s="2"/>
      <c r="S52" s="2"/>
      <c r="T52" s="2"/>
      <c r="U52" s="2"/>
    </row>
    <row r="53" spans="1:21">
      <c r="A53" s="2"/>
      <c r="B53" s="2"/>
      <c r="C53" s="2"/>
      <c r="D53" s="2"/>
      <c r="E53" s="2"/>
      <c r="F53" s="2"/>
      <c r="G53" s="2"/>
      <c r="H53" s="2"/>
      <c r="I53" s="2"/>
      <c r="J53" s="2"/>
      <c r="K53" s="2"/>
      <c r="L53" s="2"/>
      <c r="M53" s="2"/>
      <c r="N53" s="2"/>
      <c r="O53" s="2"/>
      <c r="P53" s="2"/>
      <c r="Q53" s="2"/>
      <c r="R53" s="2"/>
      <c r="S53" s="2"/>
      <c r="T53" s="2"/>
      <c r="U53" s="2"/>
    </row>
    <row r="54" spans="1:21">
      <c r="A54" s="2"/>
      <c r="B54" s="2"/>
      <c r="C54" s="2"/>
      <c r="D54" s="2"/>
      <c r="E54" s="2"/>
      <c r="F54" s="2"/>
      <c r="G54" s="2"/>
      <c r="H54" s="2"/>
      <c r="I54" s="2"/>
      <c r="J54" s="2"/>
      <c r="K54" s="2"/>
      <c r="L54" s="2"/>
      <c r="M54" s="2"/>
      <c r="N54" s="2"/>
      <c r="O54" s="2"/>
      <c r="P54" s="2"/>
      <c r="Q54" s="2"/>
      <c r="R54" s="2"/>
      <c r="S54" s="2"/>
      <c r="T54" s="2"/>
      <c r="U54" s="2"/>
    </row>
    <row r="55" spans="1:21">
      <c r="A55" s="2"/>
      <c r="B55" s="2"/>
      <c r="C55" s="2"/>
      <c r="D55" s="2"/>
      <c r="E55" s="2"/>
      <c r="F55" s="2"/>
      <c r="G55" s="2"/>
      <c r="H55" s="2"/>
      <c r="I55" s="2"/>
      <c r="J55" s="2"/>
      <c r="K55" s="2"/>
      <c r="L55" s="2"/>
      <c r="M55" s="2"/>
      <c r="N55" s="2"/>
      <c r="O55" s="2"/>
      <c r="P55" s="2"/>
      <c r="Q55" s="2"/>
      <c r="R55" s="2"/>
      <c r="S55" s="2"/>
      <c r="T55" s="2"/>
      <c r="U55" s="2"/>
    </row>
    <row r="56" spans="1:21">
      <c r="A56" s="2"/>
      <c r="B56" s="2"/>
      <c r="C56" s="2"/>
      <c r="D56" s="2"/>
      <c r="E56" s="2"/>
      <c r="F56" s="2"/>
      <c r="G56" s="2"/>
      <c r="H56" s="2"/>
      <c r="I56" s="2"/>
      <c r="J56" s="2"/>
      <c r="K56" s="2"/>
      <c r="L56" s="2"/>
      <c r="M56" s="2"/>
      <c r="N56" s="2"/>
      <c r="O56" s="2"/>
      <c r="P56" s="2"/>
      <c r="Q56" s="2"/>
      <c r="R56" s="2"/>
      <c r="S56" s="2"/>
      <c r="T56" s="2"/>
      <c r="U56" s="2"/>
    </row>
    <row r="57" spans="1:21">
      <c r="A57" s="2"/>
      <c r="B57" s="2"/>
      <c r="C57" s="2"/>
      <c r="D57" s="2"/>
      <c r="E57" s="2"/>
      <c r="F57" s="2"/>
      <c r="G57" s="2"/>
      <c r="H57" s="2"/>
      <c r="I57" s="2"/>
      <c r="J57" s="2"/>
      <c r="K57" s="2"/>
      <c r="L57" s="2"/>
      <c r="M57" s="2"/>
      <c r="N57" s="2"/>
      <c r="O57" s="2"/>
      <c r="P57" s="2"/>
      <c r="Q57" s="2"/>
      <c r="R57" s="2"/>
      <c r="S57" s="2"/>
      <c r="T57" s="2"/>
      <c r="U57" s="2"/>
    </row>
    <row r="58" spans="1:21">
      <c r="A58" s="2"/>
      <c r="B58" s="2"/>
      <c r="C58" s="2"/>
      <c r="D58" s="2"/>
      <c r="E58" s="2"/>
      <c r="F58" s="2"/>
      <c r="G58" s="2"/>
      <c r="H58" s="2"/>
      <c r="I58" s="2"/>
      <c r="J58" s="2"/>
      <c r="K58" s="2"/>
      <c r="L58" s="2"/>
      <c r="M58" s="2"/>
      <c r="N58" s="2"/>
      <c r="O58" s="2"/>
      <c r="P58" s="2"/>
      <c r="Q58" s="2"/>
      <c r="R58" s="2"/>
      <c r="S58" s="2"/>
      <c r="T58" s="2"/>
      <c r="U58" s="2"/>
    </row>
    <row r="59" spans="1:21">
      <c r="A59" s="2"/>
      <c r="B59" s="2"/>
      <c r="C59" s="2"/>
      <c r="D59" s="2"/>
      <c r="E59" s="2"/>
      <c r="F59" s="2"/>
      <c r="G59" s="2"/>
      <c r="H59" s="2"/>
      <c r="I59" s="2"/>
      <c r="J59" s="2"/>
      <c r="K59" s="2"/>
      <c r="L59" s="2"/>
      <c r="M59" s="2"/>
      <c r="N59" s="2"/>
      <c r="O59" s="2"/>
      <c r="P59" s="2"/>
      <c r="Q59" s="2"/>
      <c r="R59" s="2"/>
      <c r="S59" s="2"/>
      <c r="T59" s="2"/>
      <c r="U59" s="2"/>
    </row>
    <row r="60" spans="1:21">
      <c r="A60" s="2"/>
      <c r="B60" s="2"/>
      <c r="C60" s="2"/>
      <c r="D60" s="2"/>
      <c r="E60" s="2"/>
      <c r="F60" s="2"/>
      <c r="G60" s="2"/>
      <c r="H60" s="2"/>
      <c r="I60" s="2"/>
      <c r="J60" s="2"/>
      <c r="K60" s="2"/>
      <c r="L60" s="2"/>
      <c r="M60" s="2"/>
      <c r="N60" s="2"/>
      <c r="O60" s="2"/>
      <c r="P60" s="2"/>
      <c r="Q60" s="2"/>
      <c r="R60" s="2"/>
      <c r="S60" s="2"/>
      <c r="T60" s="2"/>
      <c r="U60" s="2"/>
    </row>
    <row r="61" spans="1:21">
      <c r="A61" s="2"/>
      <c r="B61" s="2"/>
      <c r="C61" s="2"/>
      <c r="D61" s="2"/>
      <c r="E61" s="2"/>
      <c r="F61" s="2"/>
      <c r="G61" s="2"/>
      <c r="H61" s="2"/>
      <c r="I61" s="2"/>
      <c r="J61" s="2"/>
      <c r="K61" s="2"/>
      <c r="L61" s="2"/>
      <c r="M61" s="2"/>
      <c r="N61" s="2"/>
      <c r="O61" s="2"/>
      <c r="P61" s="2"/>
      <c r="Q61" s="2"/>
      <c r="R61" s="2"/>
      <c r="S61" s="2"/>
      <c r="T61" s="2"/>
      <c r="U61" s="2"/>
    </row>
    <row r="62" spans="1:21">
      <c r="A62" s="2"/>
      <c r="B62" s="2"/>
      <c r="C62" s="2"/>
      <c r="D62" s="2"/>
      <c r="E62" s="2"/>
      <c r="F62" s="2"/>
      <c r="G62" s="2"/>
      <c r="H62" s="2"/>
      <c r="I62" s="2"/>
      <c r="J62" s="2"/>
      <c r="K62" s="2"/>
      <c r="L62" s="2"/>
      <c r="M62" s="2"/>
      <c r="N62" s="2"/>
      <c r="O62" s="2"/>
      <c r="P62" s="2"/>
      <c r="Q62" s="2"/>
      <c r="R62" s="2"/>
      <c r="S62" s="2"/>
      <c r="T62" s="2"/>
      <c r="U62" s="2"/>
    </row>
    <row r="63" spans="1:21">
      <c r="A63" s="2"/>
      <c r="B63" s="2"/>
      <c r="C63" s="2"/>
      <c r="D63" s="2"/>
      <c r="E63" s="2"/>
      <c r="F63" s="2"/>
      <c r="G63" s="2"/>
      <c r="H63" s="2"/>
      <c r="I63" s="2"/>
      <c r="J63" s="2"/>
      <c r="K63" s="2"/>
      <c r="L63" s="2"/>
      <c r="M63" s="2"/>
      <c r="N63" s="2"/>
      <c r="O63" s="2"/>
      <c r="P63" s="2"/>
      <c r="Q63" s="2"/>
      <c r="R63" s="2"/>
      <c r="S63" s="2"/>
      <c r="T63" s="2"/>
      <c r="U63" s="2"/>
    </row>
    <row r="64" spans="1:21">
      <c r="A64" s="2"/>
      <c r="B64" s="2"/>
      <c r="C64" s="2"/>
      <c r="D64" s="2"/>
      <c r="E64" s="2"/>
      <c r="F64" s="2"/>
      <c r="G64" s="2"/>
      <c r="H64" s="2"/>
      <c r="I64" s="2"/>
      <c r="J64" s="2"/>
      <c r="K64" s="2"/>
      <c r="L64" s="2"/>
      <c r="M64" s="2"/>
      <c r="N64" s="2"/>
      <c r="O64" s="2"/>
      <c r="P64" s="2"/>
      <c r="Q64" s="2"/>
      <c r="R64" s="2"/>
      <c r="S64" s="2"/>
      <c r="T64" s="2"/>
      <c r="U64" s="2"/>
    </row>
    <row r="65" spans="1:21">
      <c r="A65" s="2"/>
      <c r="B65" s="2"/>
      <c r="C65" s="2"/>
      <c r="D65" s="2"/>
      <c r="E65" s="2"/>
      <c r="F65" s="2"/>
      <c r="G65" s="2"/>
      <c r="H65" s="2"/>
      <c r="I65" s="2"/>
      <c r="J65" s="2"/>
      <c r="K65" s="2"/>
      <c r="L65" s="2"/>
      <c r="M65" s="2"/>
      <c r="N65" s="2"/>
      <c r="O65" s="2"/>
      <c r="P65" s="2"/>
      <c r="Q65" s="2"/>
      <c r="R65" s="2"/>
      <c r="S65" s="2"/>
      <c r="T65" s="2"/>
      <c r="U65" s="2"/>
    </row>
    <row r="66" spans="1:21">
      <c r="A66" s="2"/>
      <c r="B66" s="2"/>
      <c r="C66" s="2"/>
      <c r="D66" s="2"/>
      <c r="E66" s="2"/>
      <c r="F66" s="2"/>
      <c r="G66" s="2"/>
      <c r="H66" s="2"/>
      <c r="I66" s="2"/>
      <c r="J66" s="2"/>
      <c r="K66" s="2"/>
      <c r="L66" s="2"/>
      <c r="M66" s="2"/>
      <c r="N66" s="2"/>
      <c r="O66" s="2"/>
      <c r="P66" s="2"/>
      <c r="Q66" s="2"/>
      <c r="R66" s="2"/>
      <c r="S66" s="2"/>
      <c r="T66" s="2"/>
      <c r="U66" s="2"/>
    </row>
    <row r="67" spans="1:21">
      <c r="A67" s="2"/>
      <c r="B67" s="2"/>
      <c r="C67" s="2"/>
      <c r="D67" s="2"/>
      <c r="E67" s="2"/>
      <c r="F67" s="2"/>
      <c r="G67" s="2"/>
      <c r="H67" s="2"/>
      <c r="I67" s="2"/>
      <c r="J67" s="2"/>
      <c r="K67" s="2"/>
      <c r="L67" s="2"/>
      <c r="M67" s="2"/>
      <c r="N67" s="2"/>
      <c r="O67" s="2"/>
      <c r="P67" s="2"/>
      <c r="Q67" s="2"/>
      <c r="R67" s="2"/>
      <c r="S67" s="2"/>
      <c r="T67" s="2"/>
      <c r="U67" s="2"/>
    </row>
    <row r="68" spans="1:21">
      <c r="A68" s="2"/>
      <c r="B68" s="2"/>
      <c r="C68" s="2"/>
      <c r="D68" s="2"/>
      <c r="E68" s="2"/>
      <c r="F68" s="2"/>
      <c r="G68" s="2"/>
      <c r="H68" s="2"/>
      <c r="I68" s="2"/>
      <c r="J68" s="2"/>
      <c r="K68" s="2"/>
      <c r="L68" s="2"/>
      <c r="M68" s="2"/>
      <c r="N68" s="2"/>
      <c r="O68" s="2"/>
      <c r="P68" s="2"/>
      <c r="Q68" s="2"/>
      <c r="R68" s="2"/>
      <c r="S68" s="2"/>
      <c r="T68" s="2"/>
      <c r="U68" s="2"/>
    </row>
    <row r="69" spans="1:21">
      <c r="A69" s="2"/>
      <c r="B69" s="2"/>
      <c r="C69" s="2"/>
      <c r="D69" s="2"/>
      <c r="E69" s="2"/>
      <c r="F69" s="2"/>
      <c r="G69" s="2"/>
      <c r="H69" s="2"/>
      <c r="I69" s="2"/>
      <c r="J69" s="2"/>
      <c r="K69" s="2"/>
      <c r="L69" s="2"/>
      <c r="M69" s="2"/>
      <c r="N69" s="2"/>
      <c r="O69" s="2"/>
      <c r="P69" s="2"/>
      <c r="Q69" s="2"/>
      <c r="R69" s="2"/>
      <c r="S69" s="2"/>
      <c r="T69" s="2"/>
      <c r="U69" s="2"/>
    </row>
    <row r="70" spans="1:21">
      <c r="A70" s="2"/>
      <c r="B70" s="2"/>
      <c r="C70" s="2"/>
      <c r="D70" s="2"/>
      <c r="E70" s="2"/>
      <c r="F70" s="2"/>
      <c r="G70" s="2"/>
      <c r="H70" s="2"/>
      <c r="I70" s="2"/>
      <c r="J70" s="2"/>
      <c r="K70" s="2"/>
      <c r="L70" s="2"/>
      <c r="M70" s="2"/>
      <c r="N70" s="2"/>
      <c r="O70" s="2"/>
      <c r="P70" s="2"/>
      <c r="Q70" s="2"/>
      <c r="R70" s="2"/>
      <c r="S70" s="2"/>
      <c r="T70" s="2"/>
      <c r="U70" s="2"/>
    </row>
    <row r="71" spans="1:21">
      <c r="A71" s="2"/>
      <c r="B71" s="2"/>
      <c r="C71" s="2"/>
      <c r="D71" s="2"/>
      <c r="E71" s="2"/>
      <c r="F71" s="2"/>
      <c r="G71" s="2"/>
      <c r="H71" s="2"/>
      <c r="I71" s="2"/>
      <c r="J71" s="2"/>
      <c r="K71" s="2"/>
      <c r="L71" s="2"/>
      <c r="M71" s="2"/>
      <c r="N71" s="2"/>
      <c r="O71" s="2"/>
      <c r="P71" s="2"/>
      <c r="Q71" s="2"/>
      <c r="R71" s="2"/>
      <c r="S71" s="2"/>
      <c r="T71" s="2"/>
      <c r="U71" s="2"/>
    </row>
    <row r="72" spans="1:21">
      <c r="A72" s="2"/>
      <c r="B72" s="2"/>
      <c r="C72" s="2"/>
      <c r="D72" s="2"/>
      <c r="E72" s="2"/>
      <c r="F72" s="2"/>
      <c r="G72" s="2"/>
      <c r="H72" s="2"/>
      <c r="I72" s="2"/>
      <c r="J72" s="2"/>
      <c r="K72" s="2"/>
      <c r="L72" s="2"/>
      <c r="M72" s="2"/>
      <c r="N72" s="2"/>
      <c r="O72" s="2"/>
      <c r="P72" s="2"/>
      <c r="Q72" s="2"/>
      <c r="R72" s="2"/>
      <c r="S72" s="2"/>
      <c r="T72" s="2"/>
      <c r="U72" s="2"/>
    </row>
    <row r="73" spans="1:21">
      <c r="A73" s="2"/>
      <c r="B73" s="2"/>
      <c r="C73" s="2"/>
      <c r="D73" s="2"/>
      <c r="E73" s="2"/>
      <c r="F73" s="2"/>
      <c r="G73" s="2"/>
      <c r="H73" s="2"/>
      <c r="I73" s="2"/>
      <c r="J73" s="2"/>
      <c r="K73" s="2"/>
      <c r="L73" s="2"/>
      <c r="M73" s="2"/>
      <c r="N73" s="2"/>
      <c r="O73" s="2"/>
      <c r="P73" s="2"/>
      <c r="Q73" s="2"/>
      <c r="R73" s="2"/>
      <c r="S73" s="2"/>
      <c r="T73" s="2"/>
      <c r="U73" s="2"/>
    </row>
    <row r="74" spans="1:21">
      <c r="A74" s="2"/>
      <c r="B74" s="2"/>
      <c r="C74" s="2"/>
      <c r="D74" s="2"/>
      <c r="E74" s="2"/>
      <c r="F74" s="2"/>
      <c r="G74" s="2"/>
      <c r="H74" s="2"/>
      <c r="I74" s="2"/>
      <c r="J74" s="2"/>
      <c r="K74" s="2"/>
      <c r="L74" s="2"/>
      <c r="M74" s="2"/>
      <c r="N74" s="2"/>
      <c r="O74" s="2"/>
      <c r="P74" s="2"/>
      <c r="Q74" s="2"/>
      <c r="R74" s="2"/>
      <c r="S74" s="2"/>
      <c r="T74" s="2"/>
      <c r="U74" s="2"/>
    </row>
    <row r="75" spans="1:21">
      <c r="A75" s="2"/>
      <c r="B75" s="2"/>
      <c r="C75" s="2"/>
      <c r="D75" s="2"/>
      <c r="E75" s="2"/>
      <c r="F75" s="2"/>
      <c r="G75" s="2"/>
      <c r="H75" s="2"/>
      <c r="I75" s="2"/>
      <c r="J75" s="2"/>
      <c r="K75" s="2"/>
      <c r="L75" s="2"/>
      <c r="M75" s="2"/>
      <c r="N75" s="2"/>
      <c r="O75" s="2"/>
      <c r="P75" s="2"/>
      <c r="Q75" s="2"/>
      <c r="R75" s="2"/>
      <c r="S75" s="2"/>
      <c r="T75" s="2"/>
      <c r="U75" s="2"/>
    </row>
    <row r="76" spans="1:21">
      <c r="A76" s="2"/>
      <c r="B76" s="2"/>
      <c r="C76" s="2"/>
      <c r="D76" s="2"/>
      <c r="E76" s="2"/>
      <c r="F76" s="2"/>
      <c r="G76" s="2"/>
      <c r="H76" s="2"/>
      <c r="I76" s="2"/>
      <c r="J76" s="2"/>
      <c r="K76" s="2"/>
      <c r="L76" s="2"/>
      <c r="M76" s="2"/>
      <c r="N76" s="2"/>
      <c r="O76" s="2"/>
      <c r="P76" s="2"/>
      <c r="Q76" s="2"/>
      <c r="R76" s="2"/>
      <c r="S76" s="2"/>
      <c r="T76" s="2"/>
      <c r="U76" s="2"/>
    </row>
    <row r="77" spans="1:21">
      <c r="A77" s="2"/>
      <c r="B77" s="2"/>
      <c r="C77" s="2"/>
      <c r="D77" s="2"/>
      <c r="E77" s="2"/>
      <c r="F77" s="2"/>
      <c r="G77" s="2"/>
      <c r="H77" s="2"/>
      <c r="I77" s="2"/>
      <c r="J77" s="2"/>
      <c r="K77" s="2"/>
      <c r="L77" s="2"/>
      <c r="M77" s="2"/>
      <c r="N77" s="2"/>
      <c r="O77" s="2"/>
      <c r="P77" s="2"/>
      <c r="Q77" s="2"/>
      <c r="R77" s="2"/>
      <c r="S77" s="2"/>
      <c r="T77" s="2"/>
      <c r="U77" s="2"/>
    </row>
    <row r="78" spans="1:21">
      <c r="A78" s="2"/>
      <c r="B78" s="2"/>
      <c r="C78" s="2"/>
      <c r="D78" s="2"/>
      <c r="E78" s="2"/>
      <c r="F78" s="2"/>
      <c r="G78" s="2"/>
      <c r="H78" s="2"/>
      <c r="I78" s="2"/>
      <c r="J78" s="2"/>
      <c r="K78" s="2"/>
      <c r="L78" s="2"/>
      <c r="M78" s="2"/>
      <c r="N78" s="2"/>
      <c r="O78" s="2"/>
      <c r="P78" s="2"/>
      <c r="Q78" s="2"/>
      <c r="R78" s="2"/>
      <c r="S78" s="2"/>
      <c r="T78" s="2"/>
      <c r="U78" s="2"/>
    </row>
    <row r="79" spans="1:21">
      <c r="A79" s="2"/>
      <c r="B79" s="2"/>
      <c r="C79" s="2"/>
      <c r="D79" s="2"/>
      <c r="E79" s="2"/>
      <c r="F79" s="2"/>
      <c r="G79" s="2"/>
      <c r="H79" s="2"/>
      <c r="I79" s="2"/>
      <c r="J79" s="2"/>
      <c r="K79" s="2"/>
      <c r="L79" s="2"/>
      <c r="M79" s="2"/>
      <c r="N79" s="2"/>
      <c r="O79" s="2"/>
      <c r="P79" s="2"/>
      <c r="Q79" s="2"/>
      <c r="R79" s="2"/>
      <c r="S79" s="2"/>
      <c r="T79" s="2"/>
      <c r="U79" s="2"/>
    </row>
    <row r="80" spans="1:21">
      <c r="A80" s="2"/>
      <c r="B80" s="2"/>
      <c r="C80" s="2"/>
      <c r="D80" s="2"/>
      <c r="E80" s="2"/>
      <c r="F80" s="2"/>
      <c r="G80" s="2"/>
      <c r="H80" s="2"/>
      <c r="I80" s="2"/>
      <c r="J80" s="2"/>
      <c r="K80" s="2"/>
      <c r="L80" s="2"/>
      <c r="M80" s="2"/>
      <c r="N80" s="2"/>
      <c r="O80" s="2"/>
      <c r="P80" s="2"/>
      <c r="Q80" s="2"/>
      <c r="R80" s="2"/>
      <c r="S80" s="2"/>
      <c r="T80" s="2"/>
      <c r="U80" s="2"/>
    </row>
    <row r="81" spans="1:21">
      <c r="A81" s="2"/>
      <c r="B81" s="2"/>
      <c r="C81" s="2"/>
      <c r="D81" s="2"/>
      <c r="E81" s="2"/>
      <c r="F81" s="2"/>
      <c r="G81" s="2"/>
      <c r="H81" s="2"/>
      <c r="I81" s="2"/>
      <c r="J81" s="2"/>
      <c r="K81" s="2"/>
      <c r="L81" s="2"/>
      <c r="M81" s="2"/>
      <c r="N81" s="2"/>
      <c r="O81" s="2"/>
      <c r="P81" s="2"/>
      <c r="Q81" s="2"/>
      <c r="R81" s="2"/>
      <c r="S81" s="2"/>
      <c r="T81" s="2"/>
      <c r="U81" s="2"/>
    </row>
    <row r="82" spans="1:21">
      <c r="A82" s="2"/>
      <c r="B82" s="2"/>
      <c r="C82" s="2"/>
      <c r="D82" s="2"/>
      <c r="E82" s="2"/>
      <c r="F82" s="2"/>
      <c r="G82" s="2"/>
      <c r="H82" s="2"/>
      <c r="I82" s="2"/>
      <c r="J82" s="2"/>
      <c r="K82" s="2"/>
      <c r="L82" s="2"/>
      <c r="M82" s="2"/>
      <c r="N82" s="2"/>
      <c r="O82" s="2"/>
      <c r="P82" s="2"/>
      <c r="Q82" s="2"/>
      <c r="R82" s="2"/>
      <c r="S82" s="2"/>
      <c r="T82" s="2"/>
      <c r="U82" s="2"/>
    </row>
    <row r="83" spans="1:21">
      <c r="A83" s="2"/>
      <c r="B83" s="2"/>
      <c r="C83" s="2"/>
      <c r="D83" s="2"/>
      <c r="E83" s="2"/>
      <c r="F83" s="2"/>
      <c r="G83" s="2"/>
      <c r="H83" s="2"/>
      <c r="I83" s="2"/>
      <c r="J83" s="2"/>
      <c r="K83" s="2"/>
      <c r="L83" s="2"/>
      <c r="M83" s="2"/>
      <c r="N83" s="2"/>
      <c r="O83" s="2"/>
      <c r="P83" s="2"/>
      <c r="Q83" s="2"/>
      <c r="R83" s="2"/>
      <c r="S83" s="2"/>
      <c r="T83" s="2"/>
      <c r="U83" s="2"/>
    </row>
    <row r="84" spans="1:21">
      <c r="A84" s="2"/>
      <c r="B84" s="2"/>
      <c r="C84" s="2"/>
      <c r="D84" s="2"/>
      <c r="E84" s="2"/>
      <c r="F84" s="2"/>
      <c r="G84" s="2"/>
      <c r="H84" s="2"/>
      <c r="I84" s="2"/>
      <c r="J84" s="2"/>
      <c r="K84" s="2"/>
      <c r="L84" s="2"/>
      <c r="M84" s="2"/>
      <c r="N84" s="2"/>
      <c r="O84" s="2"/>
      <c r="P84" s="2"/>
      <c r="Q84" s="2"/>
      <c r="R84" s="2"/>
      <c r="S84" s="2"/>
      <c r="T84" s="2"/>
      <c r="U84" s="2"/>
    </row>
    <row r="85" spans="1:21">
      <c r="A85" s="2"/>
      <c r="B85" s="2"/>
      <c r="C85" s="2"/>
      <c r="D85" s="2"/>
      <c r="E85" s="2"/>
      <c r="F85" s="2"/>
      <c r="G85" s="2"/>
      <c r="H85" s="2"/>
      <c r="I85" s="2"/>
      <c r="J85" s="2"/>
      <c r="K85" s="2"/>
      <c r="L85" s="2"/>
      <c r="M85" s="2"/>
      <c r="N85" s="2"/>
      <c r="O85" s="2"/>
      <c r="P85" s="2"/>
      <c r="Q85" s="2"/>
      <c r="R85" s="2"/>
      <c r="S85" s="2"/>
      <c r="T85" s="2"/>
      <c r="U85" s="2"/>
    </row>
    <row r="86" spans="1:21">
      <c r="A86" s="2"/>
      <c r="B86" s="2"/>
      <c r="C86" s="2"/>
      <c r="D86" s="2"/>
      <c r="E86" s="2"/>
      <c r="F86" s="2"/>
      <c r="G86" s="2"/>
      <c r="H86" s="2"/>
      <c r="I86" s="2"/>
      <c r="J86" s="2"/>
      <c r="K86" s="2"/>
      <c r="L86" s="2"/>
      <c r="M86" s="2"/>
      <c r="N86" s="2"/>
      <c r="O86" s="2"/>
      <c r="P86" s="2"/>
      <c r="Q86" s="2"/>
      <c r="R86" s="2"/>
      <c r="S86" s="2"/>
      <c r="T86" s="2"/>
      <c r="U86" s="2"/>
    </row>
    <row r="87" spans="1:21">
      <c r="A87" s="2"/>
      <c r="B87" s="2"/>
      <c r="C87" s="2"/>
      <c r="D87" s="2"/>
      <c r="E87" s="2"/>
      <c r="F87" s="2"/>
      <c r="G87" s="2"/>
      <c r="H87" s="2"/>
      <c r="I87" s="2"/>
      <c r="J87" s="2"/>
      <c r="K87" s="2"/>
      <c r="L87" s="2"/>
      <c r="M87" s="2"/>
      <c r="N87" s="2"/>
      <c r="O87" s="2"/>
      <c r="P87" s="2"/>
      <c r="Q87" s="2"/>
      <c r="R87" s="2"/>
      <c r="S87" s="2"/>
      <c r="T87" s="2"/>
      <c r="U87" s="2"/>
    </row>
  </sheetData>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6952B-1FA9-4670-B3A9-578E08B7604E}">
  <dimension ref="A3:B23"/>
  <sheetViews>
    <sheetView workbookViewId="0">
      <selection activeCell="J10" sqref="J10"/>
    </sheetView>
  </sheetViews>
  <sheetFormatPr defaultRowHeight="15"/>
  <cols>
    <col min="1" max="1" width="16.42578125" bestFit="1" customWidth="1"/>
    <col min="2" max="2" width="17.0703125" bestFit="1" customWidth="1"/>
  </cols>
  <sheetData>
    <row r="3" spans="1:2">
      <c r="A3" s="58" t="s">
        <v>47</v>
      </c>
      <c r="B3" t="s">
        <v>128</v>
      </c>
    </row>
    <row r="4" spans="1:2">
      <c r="A4" s="59" t="s">
        <v>40</v>
      </c>
      <c r="B4" s="60">
        <v>30</v>
      </c>
    </row>
    <row r="5" spans="1:2">
      <c r="A5" s="59" t="s">
        <v>11</v>
      </c>
      <c r="B5" s="60">
        <v>15</v>
      </c>
    </row>
    <row r="6" spans="1:2">
      <c r="A6" s="59" t="s">
        <v>12</v>
      </c>
      <c r="B6" s="60">
        <v>45</v>
      </c>
    </row>
    <row r="7" spans="1:2">
      <c r="A7" s="59" t="s">
        <v>13</v>
      </c>
      <c r="B7" s="60">
        <v>23</v>
      </c>
    </row>
    <row r="8" spans="1:2">
      <c r="A8" s="59" t="s">
        <v>41</v>
      </c>
      <c r="B8" s="60">
        <v>41</v>
      </c>
    </row>
    <row r="9" spans="1:2">
      <c r="A9" s="59" t="s">
        <v>16</v>
      </c>
      <c r="B9" s="60">
        <v>12</v>
      </c>
    </row>
    <row r="10" spans="1:2">
      <c r="A10" s="59" t="s">
        <v>18</v>
      </c>
      <c r="B10" s="60">
        <v>18</v>
      </c>
    </row>
    <row r="11" spans="1:2">
      <c r="A11" s="59" t="s">
        <v>23</v>
      </c>
      <c r="B11" s="60">
        <v>26</v>
      </c>
    </row>
    <row r="12" spans="1:2">
      <c r="A12" s="59" t="s">
        <v>24</v>
      </c>
      <c r="B12" s="60">
        <v>12</v>
      </c>
    </row>
    <row r="13" spans="1:2">
      <c r="A13" s="59" t="s">
        <v>27</v>
      </c>
      <c r="B13" s="60">
        <v>17</v>
      </c>
    </row>
    <row r="14" spans="1:2">
      <c r="A14" s="59" t="s">
        <v>28</v>
      </c>
      <c r="B14" s="60">
        <v>41</v>
      </c>
    </row>
    <row r="15" spans="1:2">
      <c r="A15" s="59" t="s">
        <v>29</v>
      </c>
      <c r="B15" s="60">
        <v>31</v>
      </c>
    </row>
    <row r="16" spans="1:2">
      <c r="A16" s="59" t="s">
        <v>45</v>
      </c>
      <c r="B16" s="60">
        <v>47</v>
      </c>
    </row>
    <row r="17" spans="1:2">
      <c r="A17" s="59" t="s">
        <v>46</v>
      </c>
      <c r="B17" s="60">
        <v>36</v>
      </c>
    </row>
    <row r="18" spans="1:2">
      <c r="A18" s="59" t="s">
        <v>31</v>
      </c>
      <c r="B18" s="60">
        <v>19</v>
      </c>
    </row>
    <row r="19" spans="1:2">
      <c r="A19" s="59" t="s">
        <v>33</v>
      </c>
      <c r="B19" s="60">
        <v>15</v>
      </c>
    </row>
    <row r="20" spans="1:2">
      <c r="A20" s="59" t="s">
        <v>35</v>
      </c>
      <c r="B20" s="60">
        <v>12</v>
      </c>
    </row>
    <row r="21" spans="1:2">
      <c r="A21" s="59" t="s">
        <v>36</v>
      </c>
      <c r="B21" s="60">
        <v>14</v>
      </c>
    </row>
    <row r="22" spans="1:2">
      <c r="A22" s="59" t="s">
        <v>38</v>
      </c>
      <c r="B22" s="60">
        <v>16</v>
      </c>
    </row>
    <row r="23" spans="1:2">
      <c r="A23" s="59" t="s">
        <v>48</v>
      </c>
      <c r="B23" s="60">
        <v>470</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K68"/>
  <sheetViews>
    <sheetView zoomScale="95" zoomScaleNormal="95" workbookViewId="0">
      <selection activeCell="H3" sqref="H3"/>
    </sheetView>
  </sheetViews>
  <sheetFormatPr defaultColWidth="8.85546875" defaultRowHeight="15"/>
  <cols>
    <col min="1" max="1" width="21.140625" style="2" customWidth="1"/>
    <col min="2" max="2" width="10.35546875" style="2" customWidth="1"/>
    <col min="3" max="3" width="18.42578125" style="2" customWidth="1"/>
    <col min="4" max="5" width="13.140625" style="2" customWidth="1"/>
    <col min="6" max="6" width="11.5" style="2" customWidth="1"/>
    <col min="7" max="7" width="14.5" style="2" customWidth="1"/>
    <col min="8" max="8" width="13" style="2" bestFit="1" customWidth="1"/>
    <col min="9" max="9" width="12.42578125" style="2" customWidth="1"/>
    <col min="10" max="10" width="27.140625" style="2" customWidth="1"/>
    <col min="11" max="16384" width="8.85546875" style="2"/>
  </cols>
  <sheetData>
    <row r="1" spans="1:10">
      <c r="A1" s="6" t="s">
        <v>0</v>
      </c>
      <c r="B1" s="6" t="s">
        <v>80</v>
      </c>
      <c r="C1" s="6" t="s">
        <v>1</v>
      </c>
      <c r="D1" s="6" t="s">
        <v>2</v>
      </c>
      <c r="E1" s="6" t="s">
        <v>3</v>
      </c>
      <c r="F1" s="6" t="s">
        <v>105</v>
      </c>
      <c r="G1" s="6" t="s">
        <v>104</v>
      </c>
      <c r="H1" s="6" t="s">
        <v>107</v>
      </c>
      <c r="I1" s="6" t="s">
        <v>106</v>
      </c>
      <c r="J1" s="6" t="s">
        <v>108</v>
      </c>
    </row>
    <row r="2" spans="1:10">
      <c r="A2" s="50" t="s">
        <v>39</v>
      </c>
      <c r="B2" s="50" t="s">
        <v>87</v>
      </c>
      <c r="C2" s="50" t="s">
        <v>43</v>
      </c>
      <c r="D2" s="50">
        <v>710</v>
      </c>
      <c r="E2" s="50">
        <v>618</v>
      </c>
      <c r="F2" s="50">
        <f t="shared" ref="F2:F36" si="0">E2-D2</f>
        <v>-92</v>
      </c>
      <c r="G2" s="50">
        <v>53.8</v>
      </c>
      <c r="H2" s="50">
        <f>RANK(Table4[[#This Row],[Difference]],Table4[Difference])</f>
        <v>35</v>
      </c>
      <c r="I2" s="50">
        <f>RANK(Table4[[#This Row],[DGR -2001-11]],Table4[DGR -2001-11])</f>
        <v>2</v>
      </c>
      <c r="J2" s="50">
        <f>(Table4[[#This Row],[RANK DGR]]-Table4[[#This Row],[RANK DIFF.]])^2</f>
        <v>1089</v>
      </c>
    </row>
    <row r="3" spans="1:10">
      <c r="A3" s="50" t="s">
        <v>39</v>
      </c>
      <c r="B3" s="50" t="s">
        <v>87</v>
      </c>
      <c r="C3" s="50" t="s">
        <v>42</v>
      </c>
      <c r="D3" s="50">
        <v>812</v>
      </c>
      <c r="E3" s="50">
        <v>774</v>
      </c>
      <c r="F3" s="50">
        <f t="shared" si="0"/>
        <v>-38</v>
      </c>
      <c r="G3" s="50">
        <v>55.9</v>
      </c>
      <c r="H3" s="50">
        <f>RANK(Table4[[#This Row],[Difference]],Table4[Difference])</f>
        <v>34</v>
      </c>
      <c r="I3" s="50">
        <f>RANK(Table4[[#This Row],[DGR -2001-11]],Table4[DGR -2001-11])</f>
        <v>1</v>
      </c>
      <c r="J3" s="50">
        <f>(Table4[[#This Row],[RANK DGR]]-Table4[[#This Row],[RANK DIFF.]])^2</f>
        <v>1089</v>
      </c>
    </row>
    <row r="4" spans="1:10">
      <c r="A4" s="50" t="s">
        <v>10</v>
      </c>
      <c r="B4" s="50" t="s">
        <v>86</v>
      </c>
      <c r="C4" s="50" t="s">
        <v>20</v>
      </c>
      <c r="D4" s="50">
        <v>892</v>
      </c>
      <c r="E4" s="50">
        <v>889</v>
      </c>
      <c r="F4" s="50">
        <f t="shared" si="0"/>
        <v>-3</v>
      </c>
      <c r="G4" s="50">
        <v>23.6</v>
      </c>
      <c r="H4" s="50">
        <f>RANK(Table4[[#This Row],[Difference]],Table4[Difference])</f>
        <v>33</v>
      </c>
      <c r="I4" s="50">
        <f>RANK(Table4[[#This Row],[DGR -2001-11]],Table4[DGR -2001-11])</f>
        <v>8</v>
      </c>
      <c r="J4" s="50">
        <f>(Table4[[#This Row],[RANK DGR]]-Table4[[#This Row],[RANK DIFF.]])^2</f>
        <v>625</v>
      </c>
    </row>
    <row r="5" spans="1:10">
      <c r="A5" s="50" t="s">
        <v>39</v>
      </c>
      <c r="B5" s="50" t="s">
        <v>87</v>
      </c>
      <c r="C5" s="50" t="s">
        <v>44</v>
      </c>
      <c r="D5" s="50">
        <v>948</v>
      </c>
      <c r="E5" s="50">
        <v>946</v>
      </c>
      <c r="F5" s="50">
        <f t="shared" si="0"/>
        <v>-2</v>
      </c>
      <c r="G5" s="50">
        <v>6.3</v>
      </c>
      <c r="H5" s="50">
        <f>RANK(Table4[[#This Row],[Difference]],Table4[Difference])</f>
        <v>32</v>
      </c>
      <c r="I5" s="50">
        <f>RANK(Table4[[#This Row],[DGR -2001-11]],Table4[DGR -2001-11])</f>
        <v>33</v>
      </c>
      <c r="J5" s="50">
        <f>(Table4[[#This Row],[RANK DGR]]-Table4[[#This Row],[RANK DIFF.]])^2</f>
        <v>1</v>
      </c>
    </row>
    <row r="6" spans="1:10">
      <c r="A6" s="50" t="s">
        <v>10</v>
      </c>
      <c r="B6" s="50" t="s">
        <v>85</v>
      </c>
      <c r="C6" s="50" t="s">
        <v>17</v>
      </c>
      <c r="D6" s="50">
        <v>920</v>
      </c>
      <c r="E6" s="50">
        <v>919</v>
      </c>
      <c r="F6" s="50">
        <f t="shared" si="0"/>
        <v>-1</v>
      </c>
      <c r="G6" s="50">
        <v>19.3</v>
      </c>
      <c r="H6" s="50">
        <v>31.5</v>
      </c>
      <c r="I6" s="50">
        <f>RANK(Table4[[#This Row],[DGR -2001-11]],Table4[DGR -2001-11])</f>
        <v>17</v>
      </c>
      <c r="J6" s="50">
        <f>(Table4[[#This Row],[RANK DGR]]-Table4[[#This Row],[RANK DIFF.]])^2</f>
        <v>210.25</v>
      </c>
    </row>
    <row r="7" spans="1:10">
      <c r="A7" s="50" t="s">
        <v>10</v>
      </c>
      <c r="B7" s="50" t="s">
        <v>83</v>
      </c>
      <c r="C7" s="50" t="s">
        <v>14</v>
      </c>
      <c r="D7" s="50">
        <v>919</v>
      </c>
      <c r="E7" s="50">
        <v>918</v>
      </c>
      <c r="F7" s="50">
        <f t="shared" si="0"/>
        <v>-1</v>
      </c>
      <c r="G7" s="50">
        <v>25.4</v>
      </c>
      <c r="H7" s="50">
        <f>RANK(Table4[[#This Row],[Difference]],Table4[Difference])</f>
        <v>30</v>
      </c>
      <c r="I7" s="50">
        <f>RANK(Table4[[#This Row],[DGR -2001-11]],Table4[DGR -2001-11])</f>
        <v>6</v>
      </c>
      <c r="J7" s="50">
        <f>(Table4[[#This Row],[RANK DGR]]-Table4[[#This Row],[RANK DIFF.]])^2</f>
        <v>576</v>
      </c>
    </row>
    <row r="8" spans="1:10">
      <c r="A8" s="50" t="s">
        <v>10</v>
      </c>
      <c r="B8" s="50" t="s">
        <v>86</v>
      </c>
      <c r="C8" s="50" t="s">
        <v>37</v>
      </c>
      <c r="D8" s="50">
        <v>962</v>
      </c>
      <c r="E8" s="50">
        <v>963</v>
      </c>
      <c r="F8" s="50">
        <f t="shared" si="0"/>
        <v>1</v>
      </c>
      <c r="G8" s="50">
        <v>18.8</v>
      </c>
      <c r="H8" s="50">
        <f>RANK(Table4[[#This Row],[Difference]],Table4[Difference])</f>
        <v>29</v>
      </c>
      <c r="I8" s="50">
        <f>RANK(Table4[[#This Row],[DGR -2001-11]],Table4[DGR -2001-11])</f>
        <v>18</v>
      </c>
      <c r="J8" s="50">
        <f>(Table4[[#This Row],[RANK DGR]]-Table4[[#This Row],[RANK DIFF.]])^2</f>
        <v>121</v>
      </c>
    </row>
    <row r="9" spans="1:10">
      <c r="A9" s="50" t="s">
        <v>10</v>
      </c>
      <c r="B9" s="50" t="s">
        <v>84</v>
      </c>
      <c r="C9" s="50" t="s">
        <v>15</v>
      </c>
      <c r="D9" s="50">
        <v>989</v>
      </c>
      <c r="E9" s="50">
        <v>991</v>
      </c>
      <c r="F9" s="50">
        <f t="shared" si="0"/>
        <v>2</v>
      </c>
      <c r="G9" s="50">
        <v>22.6</v>
      </c>
      <c r="H9" s="50">
        <f>RANK(Table4[[#This Row],[Difference]],Table4[Difference])</f>
        <v>28</v>
      </c>
      <c r="I9" s="50">
        <f>RANK(Table4[[#This Row],[DGR -2001-11]],Table4[DGR -2001-11])</f>
        <v>10</v>
      </c>
      <c r="J9" s="50">
        <f>(Table4[[#This Row],[RANK DGR]]-Table4[[#This Row],[RANK DIFF.]])^2</f>
        <v>324</v>
      </c>
    </row>
    <row r="10" spans="1:10">
      <c r="A10" s="50" t="s">
        <v>10</v>
      </c>
      <c r="B10" s="50" t="s">
        <v>86</v>
      </c>
      <c r="C10" s="50" t="s">
        <v>19</v>
      </c>
      <c r="D10" s="50">
        <v>968</v>
      </c>
      <c r="E10" s="50">
        <v>972</v>
      </c>
      <c r="F10" s="50">
        <f t="shared" si="0"/>
        <v>4</v>
      </c>
      <c r="G10" s="50">
        <v>12.9</v>
      </c>
      <c r="H10" s="50">
        <f>RANK(Table4[[#This Row],[Difference]],Table4[Difference])</f>
        <v>27</v>
      </c>
      <c r="I10" s="50">
        <f>RANK(Table4[[#This Row],[DGR -2001-11]],Table4[DGR -2001-11])</f>
        <v>28</v>
      </c>
      <c r="J10" s="50">
        <f>(Table4[[#This Row],[RANK DGR]]-Table4[[#This Row],[RANK DIFF.]])^2</f>
        <v>1</v>
      </c>
    </row>
    <row r="11" spans="1:10">
      <c r="A11" s="50" t="s">
        <v>10</v>
      </c>
      <c r="B11" s="50" t="s">
        <v>83</v>
      </c>
      <c r="C11" s="50" t="s">
        <v>30</v>
      </c>
      <c r="D11" s="50">
        <v>972</v>
      </c>
      <c r="E11" s="50">
        <v>979</v>
      </c>
      <c r="F11" s="50">
        <f t="shared" si="0"/>
        <v>7</v>
      </c>
      <c r="G11" s="50">
        <v>14</v>
      </c>
      <c r="H11" s="50">
        <f>RANK(Table4[[#This Row],[Difference]],Table4[Difference])</f>
        <v>22</v>
      </c>
      <c r="I11" s="50">
        <f>RANK(Table4[[#This Row],[DGR -2001-11]],Table4[DGR -2001-11])</f>
        <v>25</v>
      </c>
      <c r="J11" s="50">
        <f>(Table4[[#This Row],[RANK DGR]]-Table4[[#This Row],[RANK DIFF.]])^2</f>
        <v>9</v>
      </c>
    </row>
    <row r="12" spans="1:10">
      <c r="A12" s="50" t="s">
        <v>10</v>
      </c>
      <c r="B12" s="50" t="s">
        <v>85</v>
      </c>
      <c r="C12" s="50" t="s">
        <v>25</v>
      </c>
      <c r="D12" s="50">
        <v>922</v>
      </c>
      <c r="E12" s="50">
        <v>929</v>
      </c>
      <c r="F12" s="50">
        <f t="shared" si="0"/>
        <v>7</v>
      </c>
      <c r="G12" s="50">
        <v>16</v>
      </c>
      <c r="H12" s="50">
        <f>RANK(Table4[[#This Row],[Difference]],Table4[Difference])</f>
        <v>22</v>
      </c>
      <c r="I12" s="50">
        <f>RANK(Table4[[#This Row],[DGR -2001-11]],Table4[DGR -2001-11])</f>
        <v>21</v>
      </c>
      <c r="J12" s="50">
        <f>(Table4[[#This Row],[RANK DGR]]-Table4[[#This Row],[RANK DIFF.]])^2</f>
        <v>1</v>
      </c>
    </row>
    <row r="13" spans="1:10">
      <c r="A13" s="50" t="s">
        <v>10</v>
      </c>
      <c r="B13" s="50" t="s">
        <v>85</v>
      </c>
      <c r="C13" s="50" t="s">
        <v>32</v>
      </c>
      <c r="D13" s="50">
        <v>921</v>
      </c>
      <c r="E13" s="50">
        <v>928</v>
      </c>
      <c r="F13" s="50">
        <f t="shared" si="0"/>
        <v>7</v>
      </c>
      <c r="G13" s="50">
        <v>21.3</v>
      </c>
      <c r="H13" s="50">
        <f>RANK(Table4[[#This Row],[Difference]],Table4[Difference])</f>
        <v>22</v>
      </c>
      <c r="I13" s="50">
        <f>RANK(Table4[[#This Row],[DGR -2001-11]],Table4[DGR -2001-11])</f>
        <v>12</v>
      </c>
      <c r="J13" s="50">
        <f>(Table4[[#This Row],[RANK DGR]]-Table4[[#This Row],[RANK DIFF.]])^2</f>
        <v>100</v>
      </c>
    </row>
    <row r="14" spans="1:10">
      <c r="A14" s="50" t="s">
        <v>10</v>
      </c>
      <c r="B14" s="50" t="s">
        <v>83</v>
      </c>
      <c r="C14" s="50" t="s">
        <v>21</v>
      </c>
      <c r="D14" s="50">
        <v>941</v>
      </c>
      <c r="E14" s="50">
        <v>948</v>
      </c>
      <c r="F14" s="50">
        <f t="shared" si="0"/>
        <v>7</v>
      </c>
      <c r="G14" s="50">
        <v>22.4</v>
      </c>
      <c r="H14" s="50">
        <f>RANK(Table4[[#This Row],[Difference]],Table4[Difference])</f>
        <v>22</v>
      </c>
      <c r="I14" s="50">
        <f>RANK(Table4[[#This Row],[DGR -2001-11]],Table4[DGR -2001-11])</f>
        <v>11</v>
      </c>
      <c r="J14" s="50">
        <f>(Table4[[#This Row],[RANK DGR]]-Table4[[#This Row],[RANK DIFF.]])^2</f>
        <v>121</v>
      </c>
    </row>
    <row r="15" spans="1:10">
      <c r="A15" s="50" t="s">
        <v>10</v>
      </c>
      <c r="B15" s="50" t="s">
        <v>82</v>
      </c>
      <c r="C15" s="50" t="s">
        <v>26</v>
      </c>
      <c r="D15" s="50">
        <v>978</v>
      </c>
      <c r="E15" s="50">
        <v>985</v>
      </c>
      <c r="F15" s="50">
        <f t="shared" si="0"/>
        <v>7</v>
      </c>
      <c r="G15" s="50">
        <v>24.5</v>
      </c>
      <c r="H15" s="50">
        <f>RANK(Table4[[#This Row],[Difference]],Table4[Difference])</f>
        <v>22</v>
      </c>
      <c r="I15" s="50">
        <f>RANK(Table4[[#This Row],[DGR -2001-11]],Table4[DGR -2001-11])</f>
        <v>7</v>
      </c>
      <c r="J15" s="50">
        <f>(Table4[[#This Row],[RANK DGR]]-Table4[[#This Row],[RANK DIFF.]])^2</f>
        <v>225</v>
      </c>
    </row>
    <row r="16" spans="1:10">
      <c r="A16" s="50" t="s">
        <v>10</v>
      </c>
      <c r="B16" s="50" t="s">
        <v>81</v>
      </c>
      <c r="C16" s="50" t="s">
        <v>22</v>
      </c>
      <c r="D16" s="50">
        <v>965</v>
      </c>
      <c r="E16" s="50">
        <v>973</v>
      </c>
      <c r="F16" s="50">
        <f t="shared" si="0"/>
        <v>8</v>
      </c>
      <c r="G16" s="50">
        <v>15.6</v>
      </c>
      <c r="H16" s="50">
        <f>RANK(Table4[[#This Row],[Difference]],Table4[Difference])</f>
        <v>21</v>
      </c>
      <c r="I16" s="50">
        <f>RANK(Table4[[#This Row],[DGR -2001-11]],Table4[DGR -2001-11])</f>
        <v>22</v>
      </c>
      <c r="J16" s="50">
        <f>(Table4[[#This Row],[RANK DGR]]-Table4[[#This Row],[RANK DIFF.]])^2</f>
        <v>1</v>
      </c>
    </row>
    <row r="17" spans="1:10">
      <c r="A17" s="50" t="s">
        <v>10</v>
      </c>
      <c r="B17" s="50" t="s">
        <v>81</v>
      </c>
      <c r="C17" s="50" t="s">
        <v>34</v>
      </c>
      <c r="D17" s="50">
        <v>987</v>
      </c>
      <c r="E17" s="50">
        <v>996</v>
      </c>
      <c r="F17" s="50">
        <f t="shared" si="0"/>
        <v>9</v>
      </c>
      <c r="G17" s="50">
        <v>15.6</v>
      </c>
      <c r="H17" s="50">
        <f>RANK(Table4[[#This Row],[Difference]],Table4[Difference])</f>
        <v>20</v>
      </c>
      <c r="I17" s="50">
        <f>RANK(Table4[[#This Row],[DGR -2001-11]],Table4[DGR -2001-11])</f>
        <v>22</v>
      </c>
      <c r="J17" s="50">
        <f>(Table4[[#This Row],[RANK DGR]]-Table4[[#This Row],[RANK DIFF.]])^2</f>
        <v>4</v>
      </c>
    </row>
    <row r="18" spans="1:10">
      <c r="A18" s="50" t="s">
        <v>10</v>
      </c>
      <c r="B18" s="50" t="s">
        <v>85</v>
      </c>
      <c r="C18" s="50" t="s">
        <v>16</v>
      </c>
      <c r="D18" s="50">
        <v>961</v>
      </c>
      <c r="E18" s="50">
        <v>973</v>
      </c>
      <c r="F18" s="50">
        <f t="shared" si="0"/>
        <v>12</v>
      </c>
      <c r="G18" s="50">
        <v>8.1999999999999993</v>
      </c>
      <c r="H18" s="50">
        <f>RANK(Table4[[#This Row],[Difference]],Table4[Difference])</f>
        <v>17</v>
      </c>
      <c r="I18" s="50">
        <f>RANK(Table4[[#This Row],[DGR -2001-11]],Table4[DGR -2001-11])</f>
        <v>31</v>
      </c>
      <c r="J18" s="50">
        <f>(Table4[[#This Row],[RANK DGR]]-Table4[[#This Row],[RANK DIFF.]])^2</f>
        <v>196</v>
      </c>
    </row>
    <row r="19" spans="1:10" s="21" customFormat="1" ht="17.25" customHeight="1">
      <c r="A19" s="51" t="s">
        <v>10</v>
      </c>
      <c r="B19" s="50" t="s">
        <v>82</v>
      </c>
      <c r="C19" s="50" t="s">
        <v>35</v>
      </c>
      <c r="D19" s="50">
        <v>948</v>
      </c>
      <c r="E19" s="50">
        <v>960</v>
      </c>
      <c r="F19" s="50">
        <f t="shared" si="0"/>
        <v>12</v>
      </c>
      <c r="G19" s="50">
        <v>14.8</v>
      </c>
      <c r="H19" s="50">
        <f>RANK(Table4[[#This Row],[Difference]],Table4[Difference])</f>
        <v>17</v>
      </c>
      <c r="I19" s="50">
        <f>RANK(Table4[[#This Row],[DGR -2001-11]],Table4[DGR -2001-11])</f>
        <v>24</v>
      </c>
      <c r="J19" s="50">
        <f>(Table4[[#This Row],[RANK DGR]]-Table4[[#This Row],[RANK DIFF.]])^2</f>
        <v>49</v>
      </c>
    </row>
    <row r="20" spans="1:10">
      <c r="A20" s="50" t="s">
        <v>10</v>
      </c>
      <c r="B20" s="50" t="s">
        <v>84</v>
      </c>
      <c r="C20" s="50" t="s">
        <v>24</v>
      </c>
      <c r="D20" s="50">
        <v>919</v>
      </c>
      <c r="E20" s="50">
        <v>931</v>
      </c>
      <c r="F20" s="50">
        <f t="shared" si="0"/>
        <v>12</v>
      </c>
      <c r="G20" s="50">
        <v>20.3</v>
      </c>
      <c r="H20" s="50">
        <f>RANK(Table4[[#This Row],[Difference]],Table4[Difference])</f>
        <v>17</v>
      </c>
      <c r="I20" s="50">
        <f>RANK(Table4[[#This Row],[DGR -2001-11]],Table4[DGR -2001-11])</f>
        <v>14</v>
      </c>
      <c r="J20" s="50">
        <f>(Table4[[#This Row],[RANK DGR]]-Table4[[#This Row],[RANK DIFF.]])^2</f>
        <v>9</v>
      </c>
    </row>
    <row r="21" spans="1:10">
      <c r="A21" s="50" t="s">
        <v>10</v>
      </c>
      <c r="B21" s="50" t="s">
        <v>86</v>
      </c>
      <c r="C21" s="50" t="s">
        <v>36</v>
      </c>
      <c r="D21" s="50">
        <v>898</v>
      </c>
      <c r="E21" s="50">
        <v>912</v>
      </c>
      <c r="F21" s="50">
        <f t="shared" si="0"/>
        <v>14</v>
      </c>
      <c r="G21" s="50">
        <v>20.2</v>
      </c>
      <c r="H21" s="50">
        <f>RANK(Table4[[#This Row],[Difference]],Table4[Difference])</f>
        <v>16</v>
      </c>
      <c r="I21" s="50">
        <f>RANK(Table4[[#This Row],[DGR -2001-11]],Table4[DGR -2001-11])</f>
        <v>15</v>
      </c>
      <c r="J21" s="50">
        <f>(Table4[[#This Row],[RANK DGR]]-Table4[[#This Row],[RANK DIFF.]])^2</f>
        <v>1</v>
      </c>
    </row>
    <row r="22" spans="1:10">
      <c r="A22" s="50" t="s">
        <v>10</v>
      </c>
      <c r="B22" s="50" t="s">
        <v>81</v>
      </c>
      <c r="C22" s="50" t="s">
        <v>11</v>
      </c>
      <c r="D22" s="50">
        <v>978</v>
      </c>
      <c r="E22" s="50">
        <v>993</v>
      </c>
      <c r="F22" s="50">
        <f t="shared" si="0"/>
        <v>15</v>
      </c>
      <c r="G22" s="50">
        <v>11</v>
      </c>
      <c r="H22" s="50">
        <f>RANK(Table4[[#This Row],[Difference]],Table4[Difference])</f>
        <v>14</v>
      </c>
      <c r="I22" s="50">
        <f>RANK(Table4[[#This Row],[DGR -2001-11]],Table4[DGR -2001-11])</f>
        <v>30</v>
      </c>
      <c r="J22" s="50">
        <f>(Table4[[#This Row],[RANK DGR]]-Table4[[#This Row],[RANK DIFF.]])^2</f>
        <v>256</v>
      </c>
    </row>
    <row r="23" spans="1:10">
      <c r="A23" s="50" t="s">
        <v>10</v>
      </c>
      <c r="B23" s="50" t="s">
        <v>82</v>
      </c>
      <c r="C23" s="50" t="s">
        <v>33</v>
      </c>
      <c r="D23" s="50">
        <v>875</v>
      </c>
      <c r="E23" s="50">
        <v>890</v>
      </c>
      <c r="F23" s="50">
        <f t="shared" si="0"/>
        <v>15</v>
      </c>
      <c r="G23" s="50">
        <v>12.9</v>
      </c>
      <c r="H23" s="50">
        <f>RANK(Table4[[#This Row],[Difference]],Table4[Difference])</f>
        <v>14</v>
      </c>
      <c r="I23" s="50">
        <f>RANK(Table4[[#This Row],[DGR -2001-11]],Table4[DGR -2001-11])</f>
        <v>28</v>
      </c>
      <c r="J23" s="50">
        <f>(Table4[[#This Row],[RANK DGR]]-Table4[[#This Row],[RANK DIFF.]])^2</f>
        <v>196</v>
      </c>
    </row>
    <row r="24" spans="1:10">
      <c r="A24" s="50" t="s">
        <v>10</v>
      </c>
      <c r="B24" s="50" t="s">
        <v>83</v>
      </c>
      <c r="C24" s="50" t="s">
        <v>38</v>
      </c>
      <c r="D24" s="50">
        <v>934</v>
      </c>
      <c r="E24" s="50">
        <v>950</v>
      </c>
      <c r="F24" s="50">
        <f t="shared" si="0"/>
        <v>16</v>
      </c>
      <c r="G24" s="50">
        <v>13.8</v>
      </c>
      <c r="H24" s="50">
        <f>RANK(Table4[[#This Row],[Difference]],Table4[Difference])</f>
        <v>13</v>
      </c>
      <c r="I24" s="50">
        <f>RANK(Table4[[#This Row],[DGR -2001-11]],Table4[DGR -2001-11])</f>
        <v>27</v>
      </c>
      <c r="J24" s="50">
        <f>(Table4[[#This Row],[RANK DGR]]-Table4[[#This Row],[RANK DIFF.]])^2</f>
        <v>196</v>
      </c>
    </row>
    <row r="25" spans="1:10">
      <c r="A25" s="50" t="s">
        <v>10</v>
      </c>
      <c r="B25" s="50" t="s">
        <v>82</v>
      </c>
      <c r="C25" s="50" t="s">
        <v>27</v>
      </c>
      <c r="D25" s="50">
        <v>972</v>
      </c>
      <c r="E25" s="50">
        <v>989</v>
      </c>
      <c r="F25" s="50">
        <f t="shared" si="0"/>
        <v>17</v>
      </c>
      <c r="G25" s="50">
        <v>27.9</v>
      </c>
      <c r="H25" s="50">
        <f>RANK(Table4[[#This Row],[Difference]],Table4[Difference])</f>
        <v>12</v>
      </c>
      <c r="I25" s="50">
        <f>RANK(Table4[[#This Row],[DGR -2001-11]],Table4[DGR -2001-11])</f>
        <v>4</v>
      </c>
      <c r="J25" s="50">
        <f>(Table4[[#This Row],[RANK DGR]]-Table4[[#This Row],[RANK DIFF.]])^2</f>
        <v>64</v>
      </c>
    </row>
    <row r="26" spans="1:10">
      <c r="A26" s="50" t="s">
        <v>10</v>
      </c>
      <c r="B26" s="50" t="s">
        <v>86</v>
      </c>
      <c r="C26" s="50" t="s">
        <v>18</v>
      </c>
      <c r="D26" s="50">
        <v>861</v>
      </c>
      <c r="E26" s="50">
        <v>879</v>
      </c>
      <c r="F26" s="50">
        <f t="shared" si="0"/>
        <v>18</v>
      </c>
      <c r="G26" s="50">
        <v>19.899999999999999</v>
      </c>
      <c r="H26" s="50">
        <f>RANK(Table4[[#This Row],[Difference]],Table4[Difference])</f>
        <v>11</v>
      </c>
      <c r="I26" s="50">
        <f>RANK(Table4[[#This Row],[DGR -2001-11]],Table4[DGR -2001-11])</f>
        <v>16</v>
      </c>
      <c r="J26" s="50">
        <f>(Table4[[#This Row],[RANK DGR]]-Table4[[#This Row],[RANK DIFF.]])^2</f>
        <v>25</v>
      </c>
    </row>
    <row r="27" spans="1:10">
      <c r="A27" s="50" t="s">
        <v>10</v>
      </c>
      <c r="B27" s="50" t="s">
        <v>86</v>
      </c>
      <c r="C27" s="50" t="s">
        <v>31</v>
      </c>
      <c r="D27" s="50">
        <v>876</v>
      </c>
      <c r="E27" s="50">
        <v>895</v>
      </c>
      <c r="F27" s="50">
        <f t="shared" si="0"/>
        <v>19</v>
      </c>
      <c r="G27" s="50">
        <v>13.9</v>
      </c>
      <c r="H27" s="50">
        <f>RANK(Table4[[#This Row],[Difference]],Table4[Difference])</f>
        <v>10</v>
      </c>
      <c r="I27" s="50">
        <f>RANK(Table4[[#This Row],[DGR -2001-11]],Table4[DGR -2001-11])</f>
        <v>26</v>
      </c>
      <c r="J27" s="50">
        <f>(Table4[[#This Row],[RANK DGR]]-Table4[[#This Row],[RANK DIFF.]])^2</f>
        <v>256</v>
      </c>
    </row>
    <row r="28" spans="1:10">
      <c r="A28" s="50" t="s">
        <v>10</v>
      </c>
      <c r="B28" s="50" t="s">
        <v>82</v>
      </c>
      <c r="C28" s="50" t="s">
        <v>13</v>
      </c>
      <c r="D28" s="50">
        <v>935</v>
      </c>
      <c r="E28" s="50">
        <v>958</v>
      </c>
      <c r="F28" s="50">
        <f t="shared" si="0"/>
        <v>23</v>
      </c>
      <c r="G28" s="50">
        <v>17.100000000000001</v>
      </c>
      <c r="H28" s="50">
        <f>RANK(Table4[[#This Row],[Difference]],Table4[Difference])</f>
        <v>9</v>
      </c>
      <c r="I28" s="50">
        <f>RANK(Table4[[#This Row],[DGR -2001-11]],Table4[DGR -2001-11])</f>
        <v>20</v>
      </c>
      <c r="J28" s="50">
        <f>(Table4[[#This Row],[RANK DGR]]-Table4[[#This Row],[RANK DIFF.]])^2</f>
        <v>121</v>
      </c>
    </row>
    <row r="29" spans="1:10">
      <c r="A29" s="50" t="s">
        <v>10</v>
      </c>
      <c r="B29" s="50" t="s">
        <v>81</v>
      </c>
      <c r="C29" s="50" t="s">
        <v>23</v>
      </c>
      <c r="D29" s="50">
        <v>1058</v>
      </c>
      <c r="E29" s="50">
        <v>1084</v>
      </c>
      <c r="F29" s="50">
        <f t="shared" si="0"/>
        <v>26</v>
      </c>
      <c r="G29" s="50">
        <v>4.9000000000000004</v>
      </c>
      <c r="H29" s="50">
        <f>RANK(Table4[[#This Row],[Difference]],Table4[Difference])</f>
        <v>8</v>
      </c>
      <c r="I29" s="50">
        <f>RANK(Table4[[#This Row],[DGR -2001-11]],Table4[DGR -2001-11])</f>
        <v>34</v>
      </c>
      <c r="J29" s="50">
        <f>(Table4[[#This Row],[RANK DGR]]-Table4[[#This Row],[RANK DIFF.]])^2</f>
        <v>676</v>
      </c>
    </row>
    <row r="30" spans="1:10">
      <c r="A30" s="50" t="s">
        <v>10</v>
      </c>
      <c r="B30" s="50" t="s">
        <v>87</v>
      </c>
      <c r="C30" s="50" t="s">
        <v>40</v>
      </c>
      <c r="D30" s="50">
        <v>846</v>
      </c>
      <c r="E30" s="50">
        <v>876</v>
      </c>
      <c r="F30" s="50">
        <f t="shared" si="0"/>
        <v>30</v>
      </c>
      <c r="G30" s="50">
        <v>6.9</v>
      </c>
      <c r="H30" s="50">
        <f>RANK(Table4[[#This Row],[Difference]],Table4[Difference])</f>
        <v>7</v>
      </c>
      <c r="I30" s="50">
        <f>RANK(Table4[[#This Row],[DGR -2001-11]],Table4[DGR -2001-11])</f>
        <v>32</v>
      </c>
      <c r="J30" s="50">
        <f>(Table4[[#This Row],[RANK DGR]]-Table4[[#This Row],[RANK DIFF.]])^2</f>
        <v>625</v>
      </c>
    </row>
    <row r="31" spans="1:10">
      <c r="A31" s="50" t="s">
        <v>39</v>
      </c>
      <c r="B31" s="50" t="s">
        <v>82</v>
      </c>
      <c r="C31" s="50" t="s">
        <v>29</v>
      </c>
      <c r="D31" s="50">
        <v>900</v>
      </c>
      <c r="E31" s="50">
        <v>931</v>
      </c>
      <c r="F31" s="50">
        <f t="shared" si="0"/>
        <v>31</v>
      </c>
      <c r="G31" s="50">
        <v>-0.6</v>
      </c>
      <c r="H31" s="50">
        <f>RANK(Table4[[#This Row],[Difference]],Table4[Difference])</f>
        <v>6</v>
      </c>
      <c r="I31" s="50">
        <f>RANK(Table4[[#This Row],[DGR -2001-11]],Table4[DGR -2001-11])</f>
        <v>35</v>
      </c>
      <c r="J31" s="50">
        <f>(Table4[[#This Row],[RANK DGR]]-Table4[[#This Row],[RANK DIFF.]])^2</f>
        <v>841</v>
      </c>
    </row>
    <row r="32" spans="1:10">
      <c r="A32" s="50" t="s">
        <v>10</v>
      </c>
      <c r="B32" s="50" t="s">
        <v>87</v>
      </c>
      <c r="C32" s="50" t="s">
        <v>46</v>
      </c>
      <c r="D32" s="50">
        <v>1001</v>
      </c>
      <c r="E32" s="50">
        <v>1037</v>
      </c>
      <c r="F32" s="50">
        <f t="shared" si="0"/>
        <v>36</v>
      </c>
      <c r="G32" s="50">
        <v>28.1</v>
      </c>
      <c r="H32" s="50">
        <f>RANK(Table4[[#This Row],[Difference]],Table4[Difference])</f>
        <v>5</v>
      </c>
      <c r="I32" s="50">
        <f>RANK(Table4[[#This Row],[DGR -2001-11]],Table4[DGR -2001-11])</f>
        <v>3</v>
      </c>
      <c r="J32" s="50">
        <f>(Table4[[#This Row],[RANK DGR]]-Table4[[#This Row],[RANK DIFF.]])^2</f>
        <v>4</v>
      </c>
    </row>
    <row r="33" spans="1:10">
      <c r="A33" s="50" t="s">
        <v>39</v>
      </c>
      <c r="B33" s="50" t="s">
        <v>87</v>
      </c>
      <c r="C33" s="50" t="s">
        <v>41</v>
      </c>
      <c r="D33" s="50">
        <v>777</v>
      </c>
      <c r="E33" s="50">
        <v>818</v>
      </c>
      <c r="F33" s="50">
        <f t="shared" si="0"/>
        <v>41</v>
      </c>
      <c r="G33" s="50">
        <v>17.2</v>
      </c>
      <c r="H33" s="50">
        <f>RANK(Table4[[#This Row],[Difference]],Table4[Difference])</f>
        <v>3</v>
      </c>
      <c r="I33" s="50">
        <f>RANK(Table4[[#This Row],[DGR -2001-11]],Table4[DGR -2001-11])</f>
        <v>19</v>
      </c>
      <c r="J33" s="50">
        <f>(Table4[[#This Row],[RANK DGR]]-Table4[[#This Row],[RANK DIFF.]])^2</f>
        <v>256</v>
      </c>
    </row>
    <row r="34" spans="1:10">
      <c r="A34" s="50" t="s">
        <v>39</v>
      </c>
      <c r="B34" s="50" t="s">
        <v>82</v>
      </c>
      <c r="C34" s="50" t="s">
        <v>28</v>
      </c>
      <c r="D34" s="50">
        <v>935</v>
      </c>
      <c r="E34" s="50">
        <v>976</v>
      </c>
      <c r="F34" s="50">
        <f t="shared" si="0"/>
        <v>41</v>
      </c>
      <c r="G34" s="50">
        <v>23.5</v>
      </c>
      <c r="H34" s="50">
        <f>RANK(Table4[[#This Row],[Difference]],Table4[Difference])</f>
        <v>3</v>
      </c>
      <c r="I34" s="50">
        <f>RANK(Table4[[#This Row],[DGR -2001-11]],Table4[DGR -2001-11])</f>
        <v>9</v>
      </c>
      <c r="J34" s="50">
        <f>(Table4[[#This Row],[RANK DGR]]-Table4[[#This Row],[RANK DIFF.]])^2</f>
        <v>36</v>
      </c>
    </row>
    <row r="35" spans="1:10">
      <c r="A35" s="50" t="s">
        <v>10</v>
      </c>
      <c r="B35" s="50" t="s">
        <v>82</v>
      </c>
      <c r="C35" s="50" t="s">
        <v>12</v>
      </c>
      <c r="D35" s="50">
        <v>893</v>
      </c>
      <c r="E35" s="50">
        <v>938</v>
      </c>
      <c r="F35" s="50">
        <f t="shared" si="0"/>
        <v>45</v>
      </c>
      <c r="G35" s="50">
        <v>26</v>
      </c>
      <c r="H35" s="50">
        <f>RANK(Table4[[#This Row],[Difference]],Table4[Difference])</f>
        <v>2</v>
      </c>
      <c r="I35" s="50">
        <f>RANK(Table4[[#This Row],[DGR -2001-11]],Table4[DGR -2001-11])</f>
        <v>5</v>
      </c>
      <c r="J35" s="50">
        <f>(Table4[[#This Row],[RANK DGR]]-Table4[[#This Row],[RANK DIFF.]])^2</f>
        <v>9</v>
      </c>
    </row>
    <row r="36" spans="1:10">
      <c r="A36" s="50" t="s">
        <v>10</v>
      </c>
      <c r="B36" s="50" t="s">
        <v>87</v>
      </c>
      <c r="C36" s="50" t="s">
        <v>45</v>
      </c>
      <c r="D36" s="50">
        <v>821</v>
      </c>
      <c r="E36" s="50">
        <v>868</v>
      </c>
      <c r="F36" s="50">
        <f t="shared" si="0"/>
        <v>47</v>
      </c>
      <c r="G36" s="50">
        <v>21.2</v>
      </c>
      <c r="H36" s="50">
        <f>RANK(Table4[[#This Row],[Difference]],Table4[Difference])</f>
        <v>1</v>
      </c>
      <c r="I36" s="50">
        <f>RANK(Table4[[#This Row],[DGR -2001-11]],Table4[DGR -2001-11])</f>
        <v>13</v>
      </c>
      <c r="J36" s="50">
        <f>(Table4[[#This Row],[RANK DGR]]-Table4[[#This Row],[RANK DIFF.]])^2</f>
        <v>144</v>
      </c>
    </row>
    <row r="37" spans="1:10">
      <c r="A37" s="50"/>
      <c r="B37" s="50"/>
      <c r="C37" s="50"/>
      <c r="D37" s="50"/>
      <c r="E37" s="50"/>
      <c r="F37" s="50">
        <f>AVERAGE(Table4[Difference])</f>
        <v>11.2</v>
      </c>
      <c r="G37" s="50"/>
      <c r="H37" s="61"/>
      <c r="I37" s="61"/>
      <c r="J37" s="61"/>
    </row>
    <row r="38" spans="1:10">
      <c r="A38" s="50"/>
      <c r="B38" s="50"/>
      <c r="C38" s="50"/>
      <c r="D38" s="50"/>
      <c r="E38" s="50"/>
      <c r="F38" s="50"/>
      <c r="G38" s="50"/>
      <c r="H38" s="50"/>
      <c r="I38" s="50"/>
      <c r="J38" s="50">
        <f>SUM(Table4[(RANK DGR-RANK DIFF.)^2])</f>
        <v>8457.25</v>
      </c>
    </row>
    <row r="51" spans="9:11">
      <c r="I51" s="22"/>
      <c r="J51" s="23"/>
      <c r="K51" s="24"/>
    </row>
    <row r="52" spans="9:11">
      <c r="I52" s="25"/>
      <c r="J52" s="26"/>
      <c r="K52" s="27"/>
    </row>
    <row r="53" spans="9:11">
      <c r="I53" s="25"/>
      <c r="J53" s="26"/>
      <c r="K53" s="27"/>
    </row>
    <row r="54" spans="9:11">
      <c r="I54" s="25"/>
      <c r="J54" s="26"/>
      <c r="K54" s="27"/>
    </row>
    <row r="55" spans="9:11">
      <c r="I55" s="25"/>
      <c r="J55" s="26"/>
      <c r="K55" s="27"/>
    </row>
    <row r="56" spans="9:11">
      <c r="I56" s="25"/>
      <c r="J56" s="26"/>
      <c r="K56" s="27"/>
    </row>
    <row r="57" spans="9:11">
      <c r="I57" s="25"/>
      <c r="J57" s="26"/>
      <c r="K57" s="27"/>
    </row>
    <row r="58" spans="9:11">
      <c r="I58" s="25"/>
      <c r="J58" s="26"/>
      <c r="K58" s="27"/>
    </row>
    <row r="59" spans="9:11">
      <c r="I59" s="25"/>
      <c r="J59" s="26"/>
      <c r="K59" s="27"/>
    </row>
    <row r="60" spans="9:11">
      <c r="I60" s="25"/>
      <c r="J60" s="26"/>
      <c r="K60" s="27"/>
    </row>
    <row r="61" spans="9:11">
      <c r="I61" s="25"/>
      <c r="J61" s="26"/>
      <c r="K61" s="27"/>
    </row>
    <row r="62" spans="9:11">
      <c r="I62" s="25"/>
      <c r="J62" s="26"/>
      <c r="K62" s="27"/>
    </row>
    <row r="63" spans="9:11">
      <c r="I63" s="25"/>
      <c r="J63" s="26"/>
      <c r="K63" s="27"/>
    </row>
    <row r="64" spans="9:11">
      <c r="I64" s="25"/>
      <c r="J64" s="26"/>
      <c r="K64" s="27"/>
    </row>
    <row r="65" spans="9:11">
      <c r="I65" s="25"/>
      <c r="J65" s="26"/>
      <c r="K65" s="27"/>
    </row>
    <row r="66" spans="9:11">
      <c r="I66" s="25"/>
      <c r="J66" s="26"/>
      <c r="K66" s="27"/>
    </row>
    <row r="67" spans="9:11">
      <c r="I67" s="25"/>
      <c r="J67" s="26"/>
      <c r="K67" s="27"/>
    </row>
    <row r="68" spans="9:11">
      <c r="I68" s="28"/>
      <c r="J68" s="29"/>
      <c r="K68" s="30"/>
    </row>
  </sheetData>
  <pageMargins left="0.7" right="0.7" top="0.75" bottom="0.75" header="0.3" footer="0.3"/>
  <pageSetup paperSize="9" orientation="portrait" r:id="rId2"/>
  <ignoredErrors>
    <ignoredError sqref="H6" calculatedColumn="1"/>
  </ignoredErrors>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3E7A5A2D-0428-4BAD-86A3-1C03FADD3024}">
  <ds:schemaRefs/>
</ds:datastoreItem>
</file>

<file path=customXml/itemProps2.xml><?xml version="1.0" encoding="utf-8"?>
<ds:datastoreItem xmlns:ds="http://schemas.openxmlformats.org/officeDocument/2006/customXml" ds:itemID="{DE1C19E1-B11C-4689-A80C-08550E4140CA}">
  <ds:schemaRefs/>
</ds:datastoreItem>
</file>

<file path=customXml/itemProps3.xml><?xml version="1.0" encoding="utf-8"?>
<ds:datastoreItem xmlns:ds="http://schemas.openxmlformats.org/officeDocument/2006/customXml" ds:itemID="{2DB0D68F-C7E5-475B-A453-111634387B2F}">
  <ds:schemaRefs/>
</ds:datastoreItem>
</file>

<file path=customXml/itemProps4.xml><?xml version="1.0" encoding="utf-8"?>
<ds:datastoreItem xmlns:ds="http://schemas.openxmlformats.org/officeDocument/2006/customXml" ds:itemID="{F97DB35F-F381-4697-BF11-1ACCCBC8E9BF}">
  <ds:schemaRefs/>
</ds:datastoreItem>
</file>

<file path=customXml/itemProps5.xml><?xml version="1.0" encoding="utf-8"?>
<ds:datastoreItem xmlns:ds="http://schemas.openxmlformats.org/officeDocument/2006/customXml" ds:itemID="{FE232C1E-2A77-42D8-BA93-76061D7DAD13}">
  <ds:schemaRefs/>
</ds:datastoreItem>
</file>

<file path=customXml/itemProps6.xml><?xml version="1.0" encoding="utf-8"?>
<ds:datastoreItem xmlns:ds="http://schemas.openxmlformats.org/officeDocument/2006/customXml" ds:itemID="{604BF385-3A68-4235-879B-C9C853558493}">
  <ds:schemaRefs/>
</ds:datastoreItem>
</file>

<file path=customXml/itemProps7.xml><?xml version="1.0" encoding="utf-8"?>
<ds:datastoreItem xmlns:ds="http://schemas.openxmlformats.org/officeDocument/2006/customXml" ds:itemID="{ABB7610C-5852-4FB5-B79F-48B0247E8DF6}">
  <ds:schemaRefs/>
</ds:datastoreItem>
</file>

<file path=customXml/itemProps8.xml><?xml version="1.0" encoding="utf-8"?>
<ds:datastoreItem xmlns:ds="http://schemas.openxmlformats.org/officeDocument/2006/customXml" ds:itemID="{8F82D33B-A4D7-43A2-9DF2-9DA4D9A54FDC}">
  <ds:schemaRefs/>
</ds:datastoreItem>
</file>

<file path=customXml/itemProps9.xml><?xml version="1.0" encoding="utf-8"?>
<ds:datastoreItem xmlns:ds="http://schemas.openxmlformats.org/officeDocument/2006/customXml" ds:itemID="{F56C9C8A-115E-41C6-83C1-F22FC8066ED2}">
  <ds:schemaRefs/>
</ds:datastoreItem>
</file>

<file path=customXml/itemProps10.xml><?xml version="1.0" encoding="utf-8"?>
<ds:datastoreItem xmlns:ds="http://schemas.openxmlformats.org/officeDocument/2006/customXml" ds:itemID="{E990EBFA-BD8F-4854-ABBB-7B2FBAA8FFFF}">
  <ds:schemaRefs/>
</ds:datastoreItem>
</file>

<file path=customXml/itemProps11.xml><?xml version="1.0" encoding="utf-8"?>
<ds:datastoreItem xmlns:ds="http://schemas.openxmlformats.org/officeDocument/2006/customXml" ds:itemID="{E10EBA76-5F94-460E-B0F1-4A7D74C5AD75}">
  <ds:schemaRefs/>
</ds:datastoreItem>
</file>

<file path=customXml/itemProps12.xml><?xml version="1.0" encoding="utf-8"?>
<ds:datastoreItem xmlns:ds="http://schemas.openxmlformats.org/officeDocument/2006/customXml" ds:itemID="{058E7137-AECB-4447-8814-84D13887DC3C}">
  <ds:schemaRefs/>
</ds:datastoreItem>
</file>

<file path=customXml/itemProps13.xml><?xml version="1.0" encoding="utf-8"?>
<ds:datastoreItem xmlns:ds="http://schemas.openxmlformats.org/officeDocument/2006/customXml" ds:itemID="{5BCD2454-01ED-4A61-AA6F-9983E0CD9F01}">
  <ds:schemaRefs/>
</ds:datastoreItem>
</file>

<file path=customXml/itemProps14.xml><?xml version="1.0" encoding="utf-8"?>
<ds:datastoreItem xmlns:ds="http://schemas.openxmlformats.org/officeDocument/2006/customXml" ds:itemID="{90A7D9D4-EDAE-4E26-9352-549A5CC822EC}">
  <ds:schemaRefs/>
</ds:datastoreItem>
</file>

<file path=customXml/itemProps15.xml><?xml version="1.0" encoding="utf-8"?>
<ds:datastoreItem xmlns:ds="http://schemas.openxmlformats.org/officeDocument/2006/customXml" ds:itemID="{9B62AE7D-F33D-4E08-912C-0DA58C6C2455}">
  <ds:schemaRefs/>
</ds:datastoreItem>
</file>

<file path=customXml/itemProps16.xml><?xml version="1.0" encoding="utf-8"?>
<ds:datastoreItem xmlns:ds="http://schemas.openxmlformats.org/officeDocument/2006/customXml" ds:itemID="{40C6A95C-6677-4152-ADC2-7B864D5168AD}">
  <ds:schemaRefs/>
</ds:datastoreItem>
</file>

<file path=customXml/itemProps17.xml><?xml version="1.0" encoding="utf-8"?>
<ds:datastoreItem xmlns:ds="http://schemas.openxmlformats.org/officeDocument/2006/customXml" ds:itemID="{8C6C2004-4655-4EEB-812B-D52C274EBBD5}">
  <ds:schemaRefs/>
</ds:datastoreItem>
</file>

<file path=customXml/itemProps18.xml><?xml version="1.0" encoding="utf-8"?>
<ds:datastoreItem xmlns:ds="http://schemas.openxmlformats.org/officeDocument/2006/customXml" ds:itemID="{27171E40-5589-4FD3-9D4B-A9EF7EF06E20}">
  <ds:schemaRefs/>
</ds:datastoreItem>
</file>

<file path=customXml/itemProps19.xml><?xml version="1.0" encoding="utf-8"?>
<ds:datastoreItem xmlns:ds="http://schemas.openxmlformats.org/officeDocument/2006/customXml" ds:itemID="{B3C4222F-148B-4DBA-99D5-9312560D9ACE}">
  <ds:schemaRefs/>
</ds:datastoreItem>
</file>

<file path=customXml/itemProps20.xml><?xml version="1.0" encoding="utf-8"?>
<ds:datastoreItem xmlns:ds="http://schemas.openxmlformats.org/officeDocument/2006/customXml" ds:itemID="{1A8A5CF7-BF59-4EF5-896C-D7705198F5E6}">
  <ds:schemaRefs/>
</ds:datastoreItem>
</file>

<file path=customXml/itemProps21.xml><?xml version="1.0" encoding="utf-8"?>
<ds:datastoreItem xmlns:ds="http://schemas.openxmlformats.org/officeDocument/2006/customXml" ds:itemID="{DEF41D55-348A-470B-BC81-31D6EA8C9ACA}">
  <ds:schemaRefs/>
</ds:datastoreItem>
</file>

<file path=customXml/itemProps22.xml><?xml version="1.0" encoding="utf-8"?>
<ds:datastoreItem xmlns:ds="http://schemas.openxmlformats.org/officeDocument/2006/customXml" ds:itemID="{8FD4AA7C-019F-4AE6-AE91-5E985426AADB}">
  <ds:schemaRefs/>
</ds:datastoreItem>
</file>

<file path=customXml/itemProps23.xml><?xml version="1.0" encoding="utf-8"?>
<ds:datastoreItem xmlns:ds="http://schemas.openxmlformats.org/officeDocument/2006/customXml" ds:itemID="{2C8A0F83-0E4F-4B7A-9CCF-6846571779A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vt:i4>
      </vt:variant>
    </vt:vector>
  </HeadingPairs>
  <TitlesOfParts>
    <vt:vector size="26" baseType="lpstr">
      <vt:lpstr>INDEX</vt:lpstr>
      <vt:lpstr>INTRO</vt:lpstr>
      <vt:lpstr>DASHBOARD</vt:lpstr>
      <vt:lpstr>1)SEX RATIO COMPLETE</vt:lpstr>
      <vt:lpstr>2)CHANGE IN SEX RATIO</vt:lpstr>
      <vt:lpstr>3)ABV AVERAGE </vt:lpstr>
      <vt:lpstr>4)ratio of U.T.</vt:lpstr>
      <vt:lpstr>5)CSR VS SR</vt:lpstr>
      <vt:lpstr>6)LR_VS_SR_PIVOT</vt:lpstr>
      <vt:lpstr>7)DGR_VS_SR_PIVOT</vt:lpstr>
      <vt:lpstr>Sheet1</vt:lpstr>
      <vt:lpstr>Sheet4</vt:lpstr>
      <vt:lpstr>Sheet5</vt:lpstr>
      <vt:lpstr>Sheet8</vt:lpstr>
      <vt:lpstr>SEX__RATIO</vt:lpstr>
      <vt:lpstr>Child sex ratio</vt:lpstr>
      <vt:lpstr>Sheet7</vt:lpstr>
      <vt:lpstr>LITERACY RATE</vt:lpstr>
      <vt:lpstr>CALCULATING CORR. COEFF.</vt:lpstr>
      <vt:lpstr>Sheet6</vt:lpstr>
      <vt:lpstr>decadal growth rate vs S.R. </vt:lpstr>
      <vt:lpstr>dgr_vs_sr_pivot</vt:lpstr>
      <vt:lpstr>dgr_vs_sr_table</vt:lpstr>
      <vt:lpstr>literacy_rate_sr_table</vt:lpstr>
      <vt:lpstr>lr_vs_sr_pivot</vt:lpstr>
      <vt:lpstr>LR_VS_SR_TABLE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Anand mishra</dc:creator>
  <cp:lastModifiedBy>Brahmajit Mohapatra</cp:lastModifiedBy>
  <dcterms:created xsi:type="dcterms:W3CDTF">2018-11-05T09:40:12Z</dcterms:created>
  <dcterms:modified xsi:type="dcterms:W3CDTF">2020-12-18T13:08:40Z</dcterms:modified>
</cp:coreProperties>
</file>